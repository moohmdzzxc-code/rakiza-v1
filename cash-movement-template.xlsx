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lshiaka-my.sharepoint.com/personal/shehar2_alshiaka_com/Documents/سطح المكتب/"/>
    </mc:Choice>
  </mc:AlternateContent>
  <xr:revisionPtr revIDLastSave="1539" documentId="8_{B6C2763B-8B38-40AA-891D-7ECFE803F645}" xr6:coauthVersionLast="47" xr6:coauthVersionMax="47" xr10:uidLastSave="{07AB6F9A-3B2D-4102-8B83-B61FE0A2D86E}"/>
  <bookViews>
    <workbookView xWindow="-120" yWindow="-120" windowWidth="15600" windowHeight="11160" xr2:uid="{00000000-000D-0000-FFFF-FFFF00000000}"/>
  </bookViews>
  <sheets>
    <sheet name="الحركة اليومية" sheetId="1" r:id="rId1"/>
    <sheet name="الحركات الشهرية" sheetId="2" r:id="rId2"/>
    <sheet name="التعليمـــــــــــــات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96" i="1" l="1"/>
  <c r="L396" i="1"/>
  <c r="Q19" i="2"/>
  <c r="P19" i="2"/>
  <c r="B19" i="2" s="1"/>
  <c r="Q16" i="2"/>
  <c r="Q15" i="2"/>
  <c r="Q14" i="2"/>
  <c r="Q12" i="2"/>
  <c r="Q11" i="2"/>
  <c r="Q10" i="2"/>
  <c r="Q9" i="2"/>
  <c r="Q8" i="2"/>
  <c r="Q5" i="2"/>
  <c r="P428" i="1"/>
  <c r="O16" i="2" s="1"/>
  <c r="M428" i="1"/>
  <c r="L16" i="2" s="1"/>
  <c r="K428" i="1"/>
  <c r="J16" i="2" s="1"/>
  <c r="J428" i="1"/>
  <c r="I16" i="2" s="1"/>
  <c r="I428" i="1"/>
  <c r="H16" i="2" s="1"/>
  <c r="H428" i="1"/>
  <c r="G16" i="2" s="1"/>
  <c r="G428" i="1"/>
  <c r="F16" i="2" s="1"/>
  <c r="F428" i="1"/>
  <c r="E16" i="2" s="1"/>
  <c r="E428" i="1"/>
  <c r="D16" i="2" s="1"/>
  <c r="D428" i="1"/>
  <c r="C16" i="2" s="1"/>
  <c r="O426" i="1"/>
  <c r="N426" i="1"/>
  <c r="L426" i="1"/>
  <c r="O425" i="1"/>
  <c r="N425" i="1"/>
  <c r="L425" i="1"/>
  <c r="O424" i="1"/>
  <c r="N424" i="1"/>
  <c r="L424" i="1"/>
  <c r="O423" i="1"/>
  <c r="N423" i="1"/>
  <c r="L423" i="1"/>
  <c r="O422" i="1"/>
  <c r="N422" i="1"/>
  <c r="L422" i="1"/>
  <c r="O421" i="1"/>
  <c r="N421" i="1"/>
  <c r="L421" i="1"/>
  <c r="O420" i="1"/>
  <c r="N420" i="1"/>
  <c r="L420" i="1"/>
  <c r="O419" i="1"/>
  <c r="N419" i="1"/>
  <c r="L419" i="1"/>
  <c r="O418" i="1"/>
  <c r="N418" i="1"/>
  <c r="L418" i="1"/>
  <c r="O417" i="1"/>
  <c r="N417" i="1"/>
  <c r="L417" i="1"/>
  <c r="O416" i="1"/>
  <c r="N416" i="1"/>
  <c r="L416" i="1"/>
  <c r="O415" i="1"/>
  <c r="N415" i="1"/>
  <c r="L415" i="1"/>
  <c r="O414" i="1"/>
  <c r="N414" i="1"/>
  <c r="L414" i="1"/>
  <c r="O413" i="1"/>
  <c r="N413" i="1"/>
  <c r="L413" i="1"/>
  <c r="O412" i="1"/>
  <c r="N412" i="1"/>
  <c r="L412" i="1"/>
  <c r="O411" i="1"/>
  <c r="N411" i="1"/>
  <c r="L411" i="1"/>
  <c r="O410" i="1"/>
  <c r="N410" i="1"/>
  <c r="L410" i="1"/>
  <c r="O409" i="1"/>
  <c r="N409" i="1"/>
  <c r="L409" i="1"/>
  <c r="O408" i="1"/>
  <c r="N408" i="1"/>
  <c r="L408" i="1"/>
  <c r="O407" i="1"/>
  <c r="N407" i="1"/>
  <c r="L407" i="1"/>
  <c r="O406" i="1"/>
  <c r="N406" i="1"/>
  <c r="L406" i="1"/>
  <c r="O405" i="1"/>
  <c r="N405" i="1"/>
  <c r="L405" i="1"/>
  <c r="O404" i="1"/>
  <c r="N404" i="1"/>
  <c r="L404" i="1"/>
  <c r="O403" i="1"/>
  <c r="N403" i="1"/>
  <c r="L403" i="1"/>
  <c r="O402" i="1"/>
  <c r="N402" i="1"/>
  <c r="L402" i="1"/>
  <c r="O401" i="1"/>
  <c r="N401" i="1"/>
  <c r="L401" i="1"/>
  <c r="O400" i="1"/>
  <c r="N400" i="1"/>
  <c r="L400" i="1"/>
  <c r="O399" i="1"/>
  <c r="N399" i="1"/>
  <c r="L399" i="1"/>
  <c r="O398" i="1"/>
  <c r="N398" i="1"/>
  <c r="L398" i="1"/>
  <c r="O397" i="1"/>
  <c r="N397" i="1"/>
  <c r="L397" i="1"/>
  <c r="N396" i="1"/>
  <c r="P392" i="1"/>
  <c r="O15" i="2" s="1"/>
  <c r="M392" i="1"/>
  <c r="L15" i="2" s="1"/>
  <c r="K392" i="1"/>
  <c r="J15" i="2" s="1"/>
  <c r="J392" i="1"/>
  <c r="I15" i="2" s="1"/>
  <c r="I392" i="1"/>
  <c r="H15" i="2" s="1"/>
  <c r="H392" i="1"/>
  <c r="G15" i="2" s="1"/>
  <c r="G392" i="1"/>
  <c r="F15" i="2" s="1"/>
  <c r="F392" i="1"/>
  <c r="E15" i="2" s="1"/>
  <c r="E392" i="1"/>
  <c r="D15" i="2" s="1"/>
  <c r="D392" i="1"/>
  <c r="C15" i="2" s="1"/>
  <c r="O390" i="1"/>
  <c r="N390" i="1"/>
  <c r="L390" i="1"/>
  <c r="O389" i="1"/>
  <c r="N389" i="1"/>
  <c r="L389" i="1"/>
  <c r="O388" i="1"/>
  <c r="N388" i="1"/>
  <c r="L388" i="1"/>
  <c r="O387" i="1"/>
  <c r="N387" i="1"/>
  <c r="L387" i="1"/>
  <c r="O386" i="1"/>
  <c r="N386" i="1"/>
  <c r="L386" i="1"/>
  <c r="O385" i="1"/>
  <c r="N385" i="1"/>
  <c r="L385" i="1"/>
  <c r="O384" i="1"/>
  <c r="N384" i="1"/>
  <c r="L384" i="1"/>
  <c r="O383" i="1"/>
  <c r="N383" i="1"/>
  <c r="L383" i="1"/>
  <c r="O382" i="1"/>
  <c r="N382" i="1"/>
  <c r="L382" i="1"/>
  <c r="O381" i="1"/>
  <c r="N381" i="1"/>
  <c r="L381" i="1"/>
  <c r="O380" i="1"/>
  <c r="N380" i="1"/>
  <c r="L380" i="1"/>
  <c r="O379" i="1"/>
  <c r="N379" i="1"/>
  <c r="L379" i="1"/>
  <c r="O378" i="1"/>
  <c r="N378" i="1"/>
  <c r="L378" i="1"/>
  <c r="O377" i="1"/>
  <c r="N377" i="1"/>
  <c r="L377" i="1"/>
  <c r="O376" i="1"/>
  <c r="N376" i="1"/>
  <c r="L376" i="1"/>
  <c r="O375" i="1"/>
  <c r="N375" i="1"/>
  <c r="L375" i="1"/>
  <c r="O374" i="1"/>
  <c r="N374" i="1"/>
  <c r="L374" i="1"/>
  <c r="O373" i="1"/>
  <c r="N373" i="1"/>
  <c r="L373" i="1"/>
  <c r="O372" i="1"/>
  <c r="N372" i="1"/>
  <c r="L372" i="1"/>
  <c r="O371" i="1"/>
  <c r="N371" i="1"/>
  <c r="L371" i="1"/>
  <c r="O370" i="1"/>
  <c r="N370" i="1"/>
  <c r="L370" i="1"/>
  <c r="O369" i="1"/>
  <c r="N369" i="1"/>
  <c r="L369" i="1"/>
  <c r="O368" i="1"/>
  <c r="N368" i="1"/>
  <c r="L368" i="1"/>
  <c r="O367" i="1"/>
  <c r="N367" i="1"/>
  <c r="L367" i="1"/>
  <c r="O366" i="1"/>
  <c r="N366" i="1"/>
  <c r="L366" i="1"/>
  <c r="O365" i="1"/>
  <c r="N365" i="1"/>
  <c r="L365" i="1"/>
  <c r="O364" i="1"/>
  <c r="N364" i="1"/>
  <c r="L364" i="1"/>
  <c r="O363" i="1"/>
  <c r="N363" i="1"/>
  <c r="L363" i="1"/>
  <c r="O362" i="1"/>
  <c r="N362" i="1"/>
  <c r="L362" i="1"/>
  <c r="O361" i="1"/>
  <c r="N361" i="1"/>
  <c r="L361" i="1"/>
  <c r="P357" i="1"/>
  <c r="O14" i="2" s="1"/>
  <c r="M357" i="1"/>
  <c r="L14" i="2" s="1"/>
  <c r="K357" i="1"/>
  <c r="J14" i="2" s="1"/>
  <c r="J357" i="1"/>
  <c r="I14" i="2" s="1"/>
  <c r="I357" i="1"/>
  <c r="H14" i="2" s="1"/>
  <c r="H357" i="1"/>
  <c r="G14" i="2" s="1"/>
  <c r="G357" i="1"/>
  <c r="F14" i="2" s="1"/>
  <c r="F357" i="1"/>
  <c r="E14" i="2" s="1"/>
  <c r="E357" i="1"/>
  <c r="D14" i="2" s="1"/>
  <c r="D357" i="1"/>
  <c r="C14" i="2" s="1"/>
  <c r="O355" i="1"/>
  <c r="N355" i="1"/>
  <c r="L355" i="1"/>
  <c r="O354" i="1"/>
  <c r="N354" i="1"/>
  <c r="L354" i="1"/>
  <c r="O353" i="1"/>
  <c r="N353" i="1"/>
  <c r="L353" i="1"/>
  <c r="O352" i="1"/>
  <c r="N352" i="1"/>
  <c r="L352" i="1"/>
  <c r="O351" i="1"/>
  <c r="N351" i="1"/>
  <c r="L351" i="1"/>
  <c r="O350" i="1"/>
  <c r="N350" i="1"/>
  <c r="L350" i="1"/>
  <c r="O349" i="1"/>
  <c r="N349" i="1"/>
  <c r="L349" i="1"/>
  <c r="O348" i="1"/>
  <c r="N348" i="1"/>
  <c r="L348" i="1"/>
  <c r="O347" i="1"/>
  <c r="N347" i="1"/>
  <c r="L347" i="1"/>
  <c r="O346" i="1"/>
  <c r="N346" i="1"/>
  <c r="L346" i="1"/>
  <c r="O345" i="1"/>
  <c r="N345" i="1"/>
  <c r="L345" i="1"/>
  <c r="O344" i="1"/>
  <c r="N344" i="1"/>
  <c r="L344" i="1"/>
  <c r="O343" i="1"/>
  <c r="N343" i="1"/>
  <c r="L343" i="1"/>
  <c r="O342" i="1"/>
  <c r="N342" i="1"/>
  <c r="L342" i="1"/>
  <c r="O341" i="1"/>
  <c r="N341" i="1"/>
  <c r="L341" i="1"/>
  <c r="O340" i="1"/>
  <c r="N340" i="1"/>
  <c r="L340" i="1"/>
  <c r="O339" i="1"/>
  <c r="N339" i="1"/>
  <c r="L339" i="1"/>
  <c r="O338" i="1"/>
  <c r="N338" i="1"/>
  <c r="L338" i="1"/>
  <c r="O337" i="1"/>
  <c r="N337" i="1"/>
  <c r="L337" i="1"/>
  <c r="O336" i="1"/>
  <c r="N336" i="1"/>
  <c r="L336" i="1"/>
  <c r="O335" i="1"/>
  <c r="N335" i="1"/>
  <c r="L335" i="1"/>
  <c r="O334" i="1"/>
  <c r="N334" i="1"/>
  <c r="L334" i="1"/>
  <c r="O333" i="1"/>
  <c r="N333" i="1"/>
  <c r="L333" i="1"/>
  <c r="O332" i="1"/>
  <c r="N332" i="1"/>
  <c r="L332" i="1"/>
  <c r="O331" i="1"/>
  <c r="N331" i="1"/>
  <c r="L331" i="1"/>
  <c r="O330" i="1"/>
  <c r="N330" i="1"/>
  <c r="L330" i="1"/>
  <c r="O329" i="1"/>
  <c r="N329" i="1"/>
  <c r="L329" i="1"/>
  <c r="O328" i="1"/>
  <c r="N328" i="1"/>
  <c r="L328" i="1"/>
  <c r="O327" i="1"/>
  <c r="N327" i="1"/>
  <c r="L327" i="1"/>
  <c r="O326" i="1"/>
  <c r="N326" i="1"/>
  <c r="L326" i="1"/>
  <c r="O325" i="1"/>
  <c r="N325" i="1"/>
  <c r="L325" i="1"/>
  <c r="P321" i="1"/>
  <c r="O13" i="2" s="1"/>
  <c r="M321" i="1"/>
  <c r="L13" i="2" s="1"/>
  <c r="K321" i="1"/>
  <c r="J13" i="2" s="1"/>
  <c r="J321" i="1"/>
  <c r="I13" i="2" s="1"/>
  <c r="I321" i="1"/>
  <c r="H13" i="2" s="1"/>
  <c r="H321" i="1"/>
  <c r="G13" i="2" s="1"/>
  <c r="G321" i="1"/>
  <c r="F13" i="2" s="1"/>
  <c r="F321" i="1"/>
  <c r="E13" i="2" s="1"/>
  <c r="E321" i="1"/>
  <c r="D13" i="2" s="1"/>
  <c r="D321" i="1"/>
  <c r="C13" i="2" s="1"/>
  <c r="O319" i="1"/>
  <c r="N319" i="1"/>
  <c r="L319" i="1"/>
  <c r="O318" i="1"/>
  <c r="N318" i="1"/>
  <c r="L318" i="1"/>
  <c r="O317" i="1"/>
  <c r="N317" i="1"/>
  <c r="L317" i="1"/>
  <c r="O316" i="1"/>
  <c r="N316" i="1"/>
  <c r="L316" i="1"/>
  <c r="O315" i="1"/>
  <c r="N315" i="1"/>
  <c r="L315" i="1"/>
  <c r="O314" i="1"/>
  <c r="N314" i="1"/>
  <c r="L314" i="1"/>
  <c r="O313" i="1"/>
  <c r="N313" i="1"/>
  <c r="L313" i="1"/>
  <c r="O312" i="1"/>
  <c r="N312" i="1"/>
  <c r="L312" i="1"/>
  <c r="O311" i="1"/>
  <c r="N311" i="1"/>
  <c r="L311" i="1"/>
  <c r="O310" i="1"/>
  <c r="N310" i="1"/>
  <c r="L310" i="1"/>
  <c r="O309" i="1"/>
  <c r="N309" i="1"/>
  <c r="L309" i="1"/>
  <c r="O308" i="1"/>
  <c r="N308" i="1"/>
  <c r="L308" i="1"/>
  <c r="O307" i="1"/>
  <c r="N307" i="1"/>
  <c r="L307" i="1"/>
  <c r="O306" i="1"/>
  <c r="N306" i="1"/>
  <c r="L306" i="1"/>
  <c r="O305" i="1"/>
  <c r="N305" i="1"/>
  <c r="L305" i="1"/>
  <c r="O304" i="1"/>
  <c r="N304" i="1"/>
  <c r="L304" i="1"/>
  <c r="O303" i="1"/>
  <c r="N303" i="1"/>
  <c r="L303" i="1"/>
  <c r="O302" i="1"/>
  <c r="N302" i="1"/>
  <c r="L302" i="1"/>
  <c r="O301" i="1"/>
  <c r="N301" i="1"/>
  <c r="L301" i="1"/>
  <c r="O300" i="1"/>
  <c r="N300" i="1"/>
  <c r="L300" i="1"/>
  <c r="O299" i="1"/>
  <c r="N299" i="1"/>
  <c r="L299" i="1"/>
  <c r="O298" i="1"/>
  <c r="N298" i="1"/>
  <c r="L298" i="1"/>
  <c r="O297" i="1"/>
  <c r="N297" i="1"/>
  <c r="L297" i="1"/>
  <c r="O296" i="1"/>
  <c r="N296" i="1"/>
  <c r="L296" i="1"/>
  <c r="O295" i="1"/>
  <c r="N295" i="1"/>
  <c r="L295" i="1"/>
  <c r="O294" i="1"/>
  <c r="N294" i="1"/>
  <c r="L294" i="1"/>
  <c r="O293" i="1"/>
  <c r="N293" i="1"/>
  <c r="L293" i="1"/>
  <c r="O292" i="1"/>
  <c r="N292" i="1"/>
  <c r="L292" i="1"/>
  <c r="O291" i="1"/>
  <c r="N291" i="1"/>
  <c r="L291" i="1"/>
  <c r="O290" i="1"/>
  <c r="N290" i="1"/>
  <c r="L290" i="1"/>
  <c r="P286" i="1"/>
  <c r="O12" i="2" s="1"/>
  <c r="M286" i="1"/>
  <c r="L12" i="2" s="1"/>
  <c r="K286" i="1"/>
  <c r="J12" i="2" s="1"/>
  <c r="J286" i="1"/>
  <c r="I12" i="2" s="1"/>
  <c r="I286" i="1"/>
  <c r="H12" i="2" s="1"/>
  <c r="H286" i="1"/>
  <c r="G12" i="2" s="1"/>
  <c r="G286" i="1"/>
  <c r="F12" i="2" s="1"/>
  <c r="F286" i="1"/>
  <c r="E12" i="2" s="1"/>
  <c r="E286" i="1"/>
  <c r="D12" i="2" s="1"/>
  <c r="D286" i="1"/>
  <c r="C12" i="2" s="1"/>
  <c r="O284" i="1"/>
  <c r="N284" i="1"/>
  <c r="L284" i="1"/>
  <c r="O283" i="1"/>
  <c r="N283" i="1"/>
  <c r="L283" i="1"/>
  <c r="O282" i="1"/>
  <c r="N282" i="1"/>
  <c r="L282" i="1"/>
  <c r="O281" i="1"/>
  <c r="N281" i="1"/>
  <c r="L281" i="1"/>
  <c r="O280" i="1"/>
  <c r="N280" i="1"/>
  <c r="L280" i="1"/>
  <c r="O279" i="1"/>
  <c r="N279" i="1"/>
  <c r="L279" i="1"/>
  <c r="O278" i="1"/>
  <c r="N278" i="1"/>
  <c r="L278" i="1"/>
  <c r="O277" i="1"/>
  <c r="N277" i="1"/>
  <c r="L277" i="1"/>
  <c r="O276" i="1"/>
  <c r="N276" i="1"/>
  <c r="L276" i="1"/>
  <c r="O275" i="1"/>
  <c r="N275" i="1"/>
  <c r="L275" i="1"/>
  <c r="O274" i="1"/>
  <c r="N274" i="1"/>
  <c r="L274" i="1"/>
  <c r="O273" i="1"/>
  <c r="N273" i="1"/>
  <c r="L273" i="1"/>
  <c r="O272" i="1"/>
  <c r="N272" i="1"/>
  <c r="L272" i="1"/>
  <c r="O271" i="1"/>
  <c r="N271" i="1"/>
  <c r="L271" i="1"/>
  <c r="O270" i="1"/>
  <c r="N270" i="1"/>
  <c r="L270" i="1"/>
  <c r="O269" i="1"/>
  <c r="N269" i="1"/>
  <c r="L269" i="1"/>
  <c r="O268" i="1"/>
  <c r="N268" i="1"/>
  <c r="L268" i="1"/>
  <c r="O267" i="1"/>
  <c r="N267" i="1"/>
  <c r="L267" i="1"/>
  <c r="O266" i="1"/>
  <c r="N266" i="1"/>
  <c r="L266" i="1"/>
  <c r="O265" i="1"/>
  <c r="N265" i="1"/>
  <c r="L265" i="1"/>
  <c r="O264" i="1"/>
  <c r="N264" i="1"/>
  <c r="L264" i="1"/>
  <c r="O263" i="1"/>
  <c r="N263" i="1"/>
  <c r="L263" i="1"/>
  <c r="O262" i="1"/>
  <c r="N262" i="1"/>
  <c r="L262" i="1"/>
  <c r="O261" i="1"/>
  <c r="N261" i="1"/>
  <c r="L261" i="1"/>
  <c r="O260" i="1"/>
  <c r="N260" i="1"/>
  <c r="L260" i="1"/>
  <c r="O259" i="1"/>
  <c r="N259" i="1"/>
  <c r="L259" i="1"/>
  <c r="O258" i="1"/>
  <c r="N258" i="1"/>
  <c r="L258" i="1"/>
  <c r="O257" i="1"/>
  <c r="N257" i="1"/>
  <c r="L257" i="1"/>
  <c r="O256" i="1"/>
  <c r="N256" i="1"/>
  <c r="L256" i="1"/>
  <c r="O255" i="1"/>
  <c r="N255" i="1"/>
  <c r="L255" i="1"/>
  <c r="O254" i="1"/>
  <c r="N254" i="1"/>
  <c r="L254" i="1"/>
  <c r="P250" i="1"/>
  <c r="O11" i="2" s="1"/>
  <c r="M250" i="1"/>
  <c r="L11" i="2" s="1"/>
  <c r="K250" i="1"/>
  <c r="J11" i="2" s="1"/>
  <c r="J250" i="1"/>
  <c r="I11" i="2" s="1"/>
  <c r="I250" i="1"/>
  <c r="H11" i="2" s="1"/>
  <c r="H250" i="1"/>
  <c r="G11" i="2" s="1"/>
  <c r="G250" i="1"/>
  <c r="F11" i="2" s="1"/>
  <c r="F250" i="1"/>
  <c r="E11" i="2" s="1"/>
  <c r="E250" i="1"/>
  <c r="D11" i="2" s="1"/>
  <c r="D250" i="1"/>
  <c r="C11" i="2" s="1"/>
  <c r="O248" i="1"/>
  <c r="N248" i="1"/>
  <c r="L248" i="1"/>
  <c r="O247" i="1"/>
  <c r="N247" i="1"/>
  <c r="L247" i="1"/>
  <c r="O246" i="1"/>
  <c r="N246" i="1"/>
  <c r="L246" i="1"/>
  <c r="O245" i="1"/>
  <c r="N245" i="1"/>
  <c r="L245" i="1"/>
  <c r="O244" i="1"/>
  <c r="N244" i="1"/>
  <c r="L244" i="1"/>
  <c r="O243" i="1"/>
  <c r="N243" i="1"/>
  <c r="L243" i="1"/>
  <c r="O242" i="1"/>
  <c r="N242" i="1"/>
  <c r="L242" i="1"/>
  <c r="O241" i="1"/>
  <c r="N241" i="1"/>
  <c r="L241" i="1"/>
  <c r="O240" i="1"/>
  <c r="N240" i="1"/>
  <c r="L240" i="1"/>
  <c r="O239" i="1"/>
  <c r="N239" i="1"/>
  <c r="L239" i="1"/>
  <c r="O238" i="1"/>
  <c r="N238" i="1"/>
  <c r="L238" i="1"/>
  <c r="O237" i="1"/>
  <c r="N237" i="1"/>
  <c r="L237" i="1"/>
  <c r="O236" i="1"/>
  <c r="N236" i="1"/>
  <c r="L236" i="1"/>
  <c r="O235" i="1"/>
  <c r="N235" i="1"/>
  <c r="L235" i="1"/>
  <c r="O234" i="1"/>
  <c r="N234" i="1"/>
  <c r="L234" i="1"/>
  <c r="O233" i="1"/>
  <c r="N233" i="1"/>
  <c r="L233" i="1"/>
  <c r="O232" i="1"/>
  <c r="N232" i="1"/>
  <c r="L232" i="1"/>
  <c r="O231" i="1"/>
  <c r="N231" i="1"/>
  <c r="L231" i="1"/>
  <c r="O230" i="1"/>
  <c r="N230" i="1"/>
  <c r="L230" i="1"/>
  <c r="O229" i="1"/>
  <c r="N229" i="1"/>
  <c r="L229" i="1"/>
  <c r="O228" i="1"/>
  <c r="N228" i="1"/>
  <c r="L228" i="1"/>
  <c r="O227" i="1"/>
  <c r="N227" i="1"/>
  <c r="L227" i="1"/>
  <c r="O226" i="1"/>
  <c r="N226" i="1"/>
  <c r="L226" i="1"/>
  <c r="O225" i="1"/>
  <c r="N225" i="1"/>
  <c r="L225" i="1"/>
  <c r="O224" i="1"/>
  <c r="N224" i="1"/>
  <c r="L224" i="1"/>
  <c r="O223" i="1"/>
  <c r="N223" i="1"/>
  <c r="L223" i="1"/>
  <c r="O222" i="1"/>
  <c r="N222" i="1"/>
  <c r="L222" i="1"/>
  <c r="O221" i="1"/>
  <c r="N221" i="1"/>
  <c r="L221" i="1"/>
  <c r="O220" i="1"/>
  <c r="N220" i="1"/>
  <c r="L220" i="1"/>
  <c r="O219" i="1"/>
  <c r="N219" i="1"/>
  <c r="L219" i="1"/>
  <c r="O218" i="1"/>
  <c r="N218" i="1"/>
  <c r="L218" i="1"/>
  <c r="P214" i="1"/>
  <c r="O10" i="2" s="1"/>
  <c r="M214" i="1"/>
  <c r="L10" i="2" s="1"/>
  <c r="K214" i="1"/>
  <c r="J10" i="2" s="1"/>
  <c r="J214" i="1"/>
  <c r="I10" i="2" s="1"/>
  <c r="I214" i="1"/>
  <c r="H10" i="2" s="1"/>
  <c r="H214" i="1"/>
  <c r="G10" i="2" s="1"/>
  <c r="G214" i="1"/>
  <c r="F10" i="2" s="1"/>
  <c r="F214" i="1"/>
  <c r="E10" i="2" s="1"/>
  <c r="E214" i="1"/>
  <c r="D10" i="2" s="1"/>
  <c r="D214" i="1"/>
  <c r="C10" i="2" s="1"/>
  <c r="O212" i="1"/>
  <c r="N212" i="1"/>
  <c r="L212" i="1"/>
  <c r="O211" i="1"/>
  <c r="N211" i="1"/>
  <c r="L211" i="1"/>
  <c r="O210" i="1"/>
  <c r="N210" i="1"/>
  <c r="L210" i="1"/>
  <c r="O209" i="1"/>
  <c r="N209" i="1"/>
  <c r="L209" i="1"/>
  <c r="O208" i="1"/>
  <c r="N208" i="1"/>
  <c r="L208" i="1"/>
  <c r="O207" i="1"/>
  <c r="N207" i="1"/>
  <c r="L207" i="1"/>
  <c r="O206" i="1"/>
  <c r="N206" i="1"/>
  <c r="L206" i="1"/>
  <c r="O205" i="1"/>
  <c r="N205" i="1"/>
  <c r="L205" i="1"/>
  <c r="O204" i="1"/>
  <c r="N204" i="1"/>
  <c r="L204" i="1"/>
  <c r="O203" i="1"/>
  <c r="N203" i="1"/>
  <c r="L203" i="1"/>
  <c r="O202" i="1"/>
  <c r="N202" i="1"/>
  <c r="L202" i="1"/>
  <c r="O201" i="1"/>
  <c r="N201" i="1"/>
  <c r="L201" i="1"/>
  <c r="O200" i="1"/>
  <c r="N200" i="1"/>
  <c r="L200" i="1"/>
  <c r="O199" i="1"/>
  <c r="N199" i="1"/>
  <c r="L199" i="1"/>
  <c r="O198" i="1"/>
  <c r="N198" i="1"/>
  <c r="L198" i="1"/>
  <c r="O197" i="1"/>
  <c r="N197" i="1"/>
  <c r="L197" i="1"/>
  <c r="O196" i="1"/>
  <c r="N196" i="1"/>
  <c r="L196" i="1"/>
  <c r="O195" i="1"/>
  <c r="N195" i="1"/>
  <c r="L195" i="1"/>
  <c r="O194" i="1"/>
  <c r="N194" i="1"/>
  <c r="L194" i="1"/>
  <c r="O193" i="1"/>
  <c r="N193" i="1"/>
  <c r="L193" i="1"/>
  <c r="O192" i="1"/>
  <c r="N192" i="1"/>
  <c r="L192" i="1"/>
  <c r="O191" i="1"/>
  <c r="N191" i="1"/>
  <c r="L191" i="1"/>
  <c r="O190" i="1"/>
  <c r="N190" i="1"/>
  <c r="L190" i="1"/>
  <c r="O189" i="1"/>
  <c r="N189" i="1"/>
  <c r="L189" i="1"/>
  <c r="O188" i="1"/>
  <c r="N188" i="1"/>
  <c r="L188" i="1"/>
  <c r="O187" i="1"/>
  <c r="N187" i="1"/>
  <c r="L187" i="1"/>
  <c r="O186" i="1"/>
  <c r="N186" i="1"/>
  <c r="L186" i="1"/>
  <c r="O185" i="1"/>
  <c r="N185" i="1"/>
  <c r="L185" i="1"/>
  <c r="O184" i="1"/>
  <c r="N184" i="1"/>
  <c r="L184" i="1"/>
  <c r="O183" i="1"/>
  <c r="N183" i="1"/>
  <c r="L183" i="1"/>
  <c r="P179" i="1"/>
  <c r="O9" i="2" s="1"/>
  <c r="M179" i="1"/>
  <c r="L9" i="2" s="1"/>
  <c r="K179" i="1"/>
  <c r="J9" i="2" s="1"/>
  <c r="J179" i="1"/>
  <c r="I9" i="2" s="1"/>
  <c r="I179" i="1"/>
  <c r="H9" i="2" s="1"/>
  <c r="H179" i="1"/>
  <c r="G9" i="2" s="1"/>
  <c r="G179" i="1"/>
  <c r="F9" i="2" s="1"/>
  <c r="F179" i="1"/>
  <c r="E9" i="2" s="1"/>
  <c r="E179" i="1"/>
  <c r="D9" i="2" s="1"/>
  <c r="D179" i="1"/>
  <c r="C9" i="2" s="1"/>
  <c r="O177" i="1"/>
  <c r="N177" i="1"/>
  <c r="L177" i="1"/>
  <c r="O176" i="1"/>
  <c r="N176" i="1"/>
  <c r="L176" i="1"/>
  <c r="O175" i="1"/>
  <c r="N175" i="1"/>
  <c r="L175" i="1"/>
  <c r="O174" i="1"/>
  <c r="N174" i="1"/>
  <c r="L174" i="1"/>
  <c r="O173" i="1"/>
  <c r="N173" i="1"/>
  <c r="L173" i="1"/>
  <c r="O172" i="1"/>
  <c r="N172" i="1"/>
  <c r="L172" i="1"/>
  <c r="O171" i="1"/>
  <c r="N171" i="1"/>
  <c r="L171" i="1"/>
  <c r="O170" i="1"/>
  <c r="N170" i="1"/>
  <c r="L170" i="1"/>
  <c r="O169" i="1"/>
  <c r="N169" i="1"/>
  <c r="L169" i="1"/>
  <c r="O168" i="1"/>
  <c r="N168" i="1"/>
  <c r="L168" i="1"/>
  <c r="O167" i="1"/>
  <c r="N167" i="1"/>
  <c r="L167" i="1"/>
  <c r="O166" i="1"/>
  <c r="N166" i="1"/>
  <c r="L166" i="1"/>
  <c r="O165" i="1"/>
  <c r="N165" i="1"/>
  <c r="L165" i="1"/>
  <c r="O164" i="1"/>
  <c r="N164" i="1"/>
  <c r="L164" i="1"/>
  <c r="O163" i="1"/>
  <c r="N163" i="1"/>
  <c r="L163" i="1"/>
  <c r="O162" i="1"/>
  <c r="N162" i="1"/>
  <c r="L162" i="1"/>
  <c r="O161" i="1"/>
  <c r="N161" i="1"/>
  <c r="L161" i="1"/>
  <c r="O160" i="1"/>
  <c r="N160" i="1"/>
  <c r="L160" i="1"/>
  <c r="O159" i="1"/>
  <c r="N159" i="1"/>
  <c r="L159" i="1"/>
  <c r="O158" i="1"/>
  <c r="N158" i="1"/>
  <c r="L158" i="1"/>
  <c r="O157" i="1"/>
  <c r="N157" i="1"/>
  <c r="L157" i="1"/>
  <c r="O156" i="1"/>
  <c r="N156" i="1"/>
  <c r="L156" i="1"/>
  <c r="O155" i="1"/>
  <c r="N155" i="1"/>
  <c r="L155" i="1"/>
  <c r="O154" i="1"/>
  <c r="N154" i="1"/>
  <c r="L154" i="1"/>
  <c r="O153" i="1"/>
  <c r="N153" i="1"/>
  <c r="L153" i="1"/>
  <c r="O152" i="1"/>
  <c r="N152" i="1"/>
  <c r="L152" i="1"/>
  <c r="O151" i="1"/>
  <c r="N151" i="1"/>
  <c r="L151" i="1"/>
  <c r="O150" i="1"/>
  <c r="N150" i="1"/>
  <c r="L150" i="1"/>
  <c r="O149" i="1"/>
  <c r="N149" i="1"/>
  <c r="L149" i="1"/>
  <c r="O148" i="1"/>
  <c r="N148" i="1"/>
  <c r="L148" i="1"/>
  <c r="O147" i="1"/>
  <c r="N147" i="1"/>
  <c r="L147" i="1"/>
  <c r="P143" i="1"/>
  <c r="O8" i="2" s="1"/>
  <c r="M143" i="1"/>
  <c r="L8" i="2" s="1"/>
  <c r="K143" i="1"/>
  <c r="J8" i="2" s="1"/>
  <c r="J143" i="1"/>
  <c r="I8" i="2" s="1"/>
  <c r="I143" i="1"/>
  <c r="H8" i="2" s="1"/>
  <c r="H143" i="1"/>
  <c r="G8" i="2" s="1"/>
  <c r="G143" i="1"/>
  <c r="F8" i="2" s="1"/>
  <c r="F143" i="1"/>
  <c r="E8" i="2" s="1"/>
  <c r="E143" i="1"/>
  <c r="D8" i="2" s="1"/>
  <c r="D143" i="1"/>
  <c r="C8" i="2" s="1"/>
  <c r="O141" i="1"/>
  <c r="N141" i="1"/>
  <c r="L141" i="1"/>
  <c r="O140" i="1"/>
  <c r="N140" i="1"/>
  <c r="L140" i="1"/>
  <c r="O139" i="1"/>
  <c r="N139" i="1"/>
  <c r="L139" i="1"/>
  <c r="O138" i="1"/>
  <c r="N138" i="1"/>
  <c r="L138" i="1"/>
  <c r="O137" i="1"/>
  <c r="N137" i="1"/>
  <c r="L137" i="1"/>
  <c r="O136" i="1"/>
  <c r="N136" i="1"/>
  <c r="L136" i="1"/>
  <c r="O135" i="1"/>
  <c r="N135" i="1"/>
  <c r="L135" i="1"/>
  <c r="O134" i="1"/>
  <c r="N134" i="1"/>
  <c r="L134" i="1"/>
  <c r="O133" i="1"/>
  <c r="N133" i="1"/>
  <c r="L133" i="1"/>
  <c r="O132" i="1"/>
  <c r="N132" i="1"/>
  <c r="L132" i="1"/>
  <c r="O131" i="1"/>
  <c r="N131" i="1"/>
  <c r="L131" i="1"/>
  <c r="O130" i="1"/>
  <c r="N130" i="1"/>
  <c r="L130" i="1"/>
  <c r="O129" i="1"/>
  <c r="N129" i="1"/>
  <c r="L129" i="1"/>
  <c r="O128" i="1"/>
  <c r="N128" i="1"/>
  <c r="L128" i="1"/>
  <c r="O127" i="1"/>
  <c r="N127" i="1"/>
  <c r="L127" i="1"/>
  <c r="O126" i="1"/>
  <c r="N126" i="1"/>
  <c r="L126" i="1"/>
  <c r="O125" i="1"/>
  <c r="N125" i="1"/>
  <c r="L125" i="1"/>
  <c r="O124" i="1"/>
  <c r="N124" i="1"/>
  <c r="L124" i="1"/>
  <c r="O123" i="1"/>
  <c r="N123" i="1"/>
  <c r="L123" i="1"/>
  <c r="O122" i="1"/>
  <c r="N122" i="1"/>
  <c r="L122" i="1"/>
  <c r="O121" i="1"/>
  <c r="N121" i="1"/>
  <c r="L121" i="1"/>
  <c r="O120" i="1"/>
  <c r="N120" i="1"/>
  <c r="L120" i="1"/>
  <c r="O119" i="1"/>
  <c r="N119" i="1"/>
  <c r="L119" i="1"/>
  <c r="O118" i="1"/>
  <c r="N118" i="1"/>
  <c r="L118" i="1"/>
  <c r="O117" i="1"/>
  <c r="N117" i="1"/>
  <c r="L117" i="1"/>
  <c r="O116" i="1"/>
  <c r="N116" i="1"/>
  <c r="L116" i="1"/>
  <c r="O115" i="1"/>
  <c r="N115" i="1"/>
  <c r="L115" i="1"/>
  <c r="O114" i="1"/>
  <c r="N114" i="1"/>
  <c r="L114" i="1"/>
  <c r="O113" i="1"/>
  <c r="N113" i="1"/>
  <c r="L113" i="1"/>
  <c r="O112" i="1"/>
  <c r="N112" i="1"/>
  <c r="L112" i="1"/>
  <c r="P108" i="1"/>
  <c r="O7" i="2" s="1"/>
  <c r="M108" i="1"/>
  <c r="L7" i="2" s="1"/>
  <c r="K108" i="1"/>
  <c r="J7" i="2" s="1"/>
  <c r="J108" i="1"/>
  <c r="I7" i="2" s="1"/>
  <c r="I108" i="1"/>
  <c r="H7" i="2" s="1"/>
  <c r="H108" i="1"/>
  <c r="G7" i="2" s="1"/>
  <c r="G108" i="1"/>
  <c r="F7" i="2" s="1"/>
  <c r="F108" i="1"/>
  <c r="E7" i="2" s="1"/>
  <c r="E108" i="1"/>
  <c r="D7" i="2" s="1"/>
  <c r="D108" i="1"/>
  <c r="C7" i="2" s="1"/>
  <c r="O106" i="1"/>
  <c r="N106" i="1"/>
  <c r="L106" i="1"/>
  <c r="O105" i="1"/>
  <c r="N105" i="1"/>
  <c r="L105" i="1"/>
  <c r="O104" i="1"/>
  <c r="N104" i="1"/>
  <c r="L104" i="1"/>
  <c r="O103" i="1"/>
  <c r="N103" i="1"/>
  <c r="L103" i="1"/>
  <c r="O102" i="1"/>
  <c r="N102" i="1"/>
  <c r="L102" i="1"/>
  <c r="O101" i="1"/>
  <c r="N101" i="1"/>
  <c r="L101" i="1"/>
  <c r="O100" i="1"/>
  <c r="N100" i="1"/>
  <c r="L100" i="1"/>
  <c r="O99" i="1"/>
  <c r="N99" i="1"/>
  <c r="L99" i="1"/>
  <c r="O98" i="1"/>
  <c r="N98" i="1"/>
  <c r="L98" i="1"/>
  <c r="O97" i="1"/>
  <c r="N97" i="1"/>
  <c r="L97" i="1"/>
  <c r="O96" i="1"/>
  <c r="N96" i="1"/>
  <c r="L96" i="1"/>
  <c r="O95" i="1"/>
  <c r="N95" i="1"/>
  <c r="L95" i="1"/>
  <c r="O94" i="1"/>
  <c r="N94" i="1"/>
  <c r="L94" i="1"/>
  <c r="O93" i="1"/>
  <c r="N93" i="1"/>
  <c r="L93" i="1"/>
  <c r="O92" i="1"/>
  <c r="N92" i="1"/>
  <c r="L92" i="1"/>
  <c r="O91" i="1"/>
  <c r="N91" i="1"/>
  <c r="L91" i="1"/>
  <c r="O90" i="1"/>
  <c r="N90" i="1"/>
  <c r="L90" i="1"/>
  <c r="O89" i="1"/>
  <c r="N89" i="1"/>
  <c r="L89" i="1"/>
  <c r="O88" i="1"/>
  <c r="N88" i="1"/>
  <c r="L88" i="1"/>
  <c r="O87" i="1"/>
  <c r="N87" i="1"/>
  <c r="L87" i="1"/>
  <c r="O86" i="1"/>
  <c r="N86" i="1"/>
  <c r="L86" i="1"/>
  <c r="O85" i="1"/>
  <c r="N85" i="1"/>
  <c r="L85" i="1"/>
  <c r="O84" i="1"/>
  <c r="N84" i="1"/>
  <c r="L84" i="1"/>
  <c r="O83" i="1"/>
  <c r="N83" i="1"/>
  <c r="L83" i="1"/>
  <c r="O82" i="1"/>
  <c r="N82" i="1"/>
  <c r="L82" i="1"/>
  <c r="O81" i="1"/>
  <c r="N81" i="1"/>
  <c r="L81" i="1"/>
  <c r="O80" i="1"/>
  <c r="N80" i="1"/>
  <c r="L80" i="1"/>
  <c r="O79" i="1"/>
  <c r="N79" i="1"/>
  <c r="L79" i="1"/>
  <c r="O78" i="1"/>
  <c r="N78" i="1"/>
  <c r="L78" i="1"/>
  <c r="O77" i="1"/>
  <c r="N77" i="1"/>
  <c r="L77" i="1"/>
  <c r="O76" i="1"/>
  <c r="N76" i="1"/>
  <c r="L76" i="1"/>
  <c r="P72" i="1"/>
  <c r="O6" i="2" s="1"/>
  <c r="M72" i="1"/>
  <c r="L6" i="2" s="1"/>
  <c r="K72" i="1"/>
  <c r="J6" i="2" s="1"/>
  <c r="J72" i="1"/>
  <c r="I6" i="2" s="1"/>
  <c r="I72" i="1"/>
  <c r="H6" i="2" s="1"/>
  <c r="H72" i="1"/>
  <c r="G6" i="2" s="1"/>
  <c r="G72" i="1"/>
  <c r="F6" i="2" s="1"/>
  <c r="F72" i="1"/>
  <c r="E6" i="2" s="1"/>
  <c r="E72" i="1"/>
  <c r="D6" i="2" s="1"/>
  <c r="D72" i="1"/>
  <c r="C6" i="2" s="1"/>
  <c r="O70" i="1"/>
  <c r="N70" i="1"/>
  <c r="L70" i="1"/>
  <c r="O69" i="1"/>
  <c r="N69" i="1"/>
  <c r="L69" i="1"/>
  <c r="O68" i="1"/>
  <c r="N68" i="1"/>
  <c r="L68" i="1"/>
  <c r="O67" i="1"/>
  <c r="N67" i="1"/>
  <c r="L67" i="1"/>
  <c r="O66" i="1"/>
  <c r="N66" i="1"/>
  <c r="L66" i="1"/>
  <c r="O65" i="1"/>
  <c r="N65" i="1"/>
  <c r="L65" i="1"/>
  <c r="O64" i="1"/>
  <c r="N64" i="1"/>
  <c r="L64" i="1"/>
  <c r="O63" i="1"/>
  <c r="N63" i="1"/>
  <c r="L63" i="1"/>
  <c r="O62" i="1"/>
  <c r="N62" i="1"/>
  <c r="L62" i="1"/>
  <c r="O61" i="1"/>
  <c r="N61" i="1"/>
  <c r="L61" i="1"/>
  <c r="O60" i="1"/>
  <c r="N60" i="1"/>
  <c r="L60" i="1"/>
  <c r="O59" i="1"/>
  <c r="N59" i="1"/>
  <c r="L59" i="1"/>
  <c r="O58" i="1"/>
  <c r="N58" i="1"/>
  <c r="L58" i="1"/>
  <c r="O57" i="1"/>
  <c r="N57" i="1"/>
  <c r="L57" i="1"/>
  <c r="O56" i="1"/>
  <c r="N56" i="1"/>
  <c r="L56" i="1"/>
  <c r="O55" i="1"/>
  <c r="N55" i="1"/>
  <c r="L55" i="1"/>
  <c r="O54" i="1"/>
  <c r="N54" i="1"/>
  <c r="L54" i="1"/>
  <c r="O53" i="1"/>
  <c r="N53" i="1"/>
  <c r="L53" i="1"/>
  <c r="O52" i="1"/>
  <c r="N52" i="1"/>
  <c r="L52" i="1"/>
  <c r="O51" i="1"/>
  <c r="N51" i="1"/>
  <c r="L51" i="1"/>
  <c r="O50" i="1"/>
  <c r="N50" i="1"/>
  <c r="L50" i="1"/>
  <c r="O49" i="1"/>
  <c r="N49" i="1"/>
  <c r="L49" i="1"/>
  <c r="O48" i="1"/>
  <c r="N48" i="1"/>
  <c r="L48" i="1"/>
  <c r="O47" i="1"/>
  <c r="N47" i="1"/>
  <c r="L47" i="1"/>
  <c r="O46" i="1"/>
  <c r="N46" i="1"/>
  <c r="L46" i="1"/>
  <c r="O45" i="1"/>
  <c r="N45" i="1"/>
  <c r="L45" i="1"/>
  <c r="O44" i="1"/>
  <c r="N44" i="1"/>
  <c r="L44" i="1"/>
  <c r="O43" i="1"/>
  <c r="N43" i="1"/>
  <c r="L43" i="1"/>
  <c r="O42" i="1"/>
  <c r="N42" i="1"/>
  <c r="L42" i="1"/>
  <c r="P38" i="1"/>
  <c r="O5" i="2" s="1"/>
  <c r="M38" i="1"/>
  <c r="L5" i="2" s="1"/>
  <c r="K38" i="1"/>
  <c r="J38" i="1"/>
  <c r="I38" i="1"/>
  <c r="H5" i="2" s="1"/>
  <c r="H38" i="1"/>
  <c r="G5" i="2" s="1"/>
  <c r="G38" i="1"/>
  <c r="F5" i="2" s="1"/>
  <c r="F38" i="1"/>
  <c r="E5" i="2" s="1"/>
  <c r="E38" i="1"/>
  <c r="D5" i="2" s="1"/>
  <c r="D38" i="1"/>
  <c r="C5" i="2" s="1"/>
  <c r="O36" i="1"/>
  <c r="N36" i="1"/>
  <c r="L36" i="1"/>
  <c r="O35" i="1"/>
  <c r="N35" i="1"/>
  <c r="L35" i="1"/>
  <c r="O34" i="1"/>
  <c r="N34" i="1"/>
  <c r="L34" i="1"/>
  <c r="O33" i="1"/>
  <c r="N33" i="1"/>
  <c r="L33" i="1"/>
  <c r="O32" i="1"/>
  <c r="N32" i="1"/>
  <c r="L32" i="1"/>
  <c r="O31" i="1"/>
  <c r="N31" i="1"/>
  <c r="L31" i="1"/>
  <c r="O30" i="1"/>
  <c r="N30" i="1"/>
  <c r="L30" i="1"/>
  <c r="O29" i="1"/>
  <c r="N29" i="1"/>
  <c r="L29" i="1"/>
  <c r="O28" i="1"/>
  <c r="N28" i="1"/>
  <c r="L28" i="1"/>
  <c r="O27" i="1"/>
  <c r="N27" i="1"/>
  <c r="L27" i="1"/>
  <c r="O26" i="1"/>
  <c r="N26" i="1"/>
  <c r="L26" i="1"/>
  <c r="O25" i="1"/>
  <c r="N25" i="1"/>
  <c r="L25" i="1"/>
  <c r="O24" i="1"/>
  <c r="N24" i="1"/>
  <c r="L24" i="1"/>
  <c r="O23" i="1"/>
  <c r="N23" i="1"/>
  <c r="L23" i="1"/>
  <c r="O22" i="1"/>
  <c r="N22" i="1"/>
  <c r="L22" i="1"/>
  <c r="O21" i="1"/>
  <c r="N21" i="1"/>
  <c r="L21" i="1"/>
  <c r="O20" i="1"/>
  <c r="N20" i="1"/>
  <c r="L20" i="1"/>
  <c r="O19" i="1"/>
  <c r="N19" i="1"/>
  <c r="L19" i="1"/>
  <c r="O18" i="1"/>
  <c r="N18" i="1"/>
  <c r="L18" i="1"/>
  <c r="O17" i="1"/>
  <c r="N17" i="1"/>
  <c r="L17" i="1"/>
  <c r="O16" i="1"/>
  <c r="N16" i="1"/>
  <c r="L16" i="1"/>
  <c r="O15" i="1"/>
  <c r="N15" i="1"/>
  <c r="L15" i="1"/>
  <c r="O14" i="1"/>
  <c r="N14" i="1"/>
  <c r="L14" i="1"/>
  <c r="O13" i="1"/>
  <c r="N13" i="1"/>
  <c r="L13" i="1"/>
  <c r="O12" i="1"/>
  <c r="N12" i="1"/>
  <c r="L12" i="1"/>
  <c r="O11" i="1"/>
  <c r="N11" i="1"/>
  <c r="L11" i="1"/>
  <c r="O10" i="1"/>
  <c r="N10" i="1"/>
  <c r="L10" i="1"/>
  <c r="O9" i="1"/>
  <c r="N9" i="1"/>
  <c r="L9" i="1"/>
  <c r="O8" i="1"/>
  <c r="N8" i="1"/>
  <c r="L8" i="1"/>
  <c r="O7" i="1"/>
  <c r="N7" i="1"/>
  <c r="L7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O6" i="1"/>
  <c r="N6" i="1"/>
  <c r="L6" i="1"/>
  <c r="O250" i="1" l="1"/>
  <c r="N11" i="2" s="1"/>
  <c r="N214" i="1"/>
  <c r="M10" i="2" s="1"/>
  <c r="N38" i="1"/>
  <c r="M5" i="2" s="1"/>
  <c r="N72" i="1"/>
  <c r="M6" i="2" s="1"/>
  <c r="N108" i="1"/>
  <c r="M7" i="2" s="1"/>
  <c r="L108" i="1"/>
  <c r="K7" i="2" s="1"/>
  <c r="N143" i="1"/>
  <c r="M8" i="2" s="1"/>
  <c r="O179" i="1"/>
  <c r="N9" i="2" s="1"/>
  <c r="N179" i="1"/>
  <c r="M9" i="2" s="1"/>
  <c r="O214" i="1"/>
  <c r="N10" i="2" s="1"/>
  <c r="L214" i="1"/>
  <c r="K10" i="2" s="1"/>
  <c r="N250" i="1"/>
  <c r="M11" i="2" s="1"/>
  <c r="O286" i="1"/>
  <c r="N12" i="2" s="1"/>
  <c r="N286" i="1"/>
  <c r="M12" i="2" s="1"/>
  <c r="L286" i="1"/>
  <c r="K12" i="2" s="1"/>
  <c r="O357" i="1"/>
  <c r="N14" i="2" s="1"/>
  <c r="O392" i="1"/>
  <c r="N15" i="2" s="1"/>
  <c r="O38" i="1"/>
  <c r="N5" i="2" s="1"/>
  <c r="O72" i="1"/>
  <c r="N6" i="2" s="1"/>
  <c r="O428" i="1"/>
  <c r="N16" i="2" s="1"/>
  <c r="P434" i="1"/>
  <c r="O19" i="2" s="1"/>
  <c r="O108" i="1"/>
  <c r="N7" i="2" s="1"/>
  <c r="Q6" i="1"/>
  <c r="C7" i="1" s="1"/>
  <c r="Q7" i="1" s="1"/>
  <c r="C8" i="1" s="1"/>
  <c r="Q8" i="1" s="1"/>
  <c r="C9" i="1" s="1"/>
  <c r="Q9" i="1" s="1"/>
  <c r="C10" i="1" s="1"/>
  <c r="Q10" i="1" s="1"/>
  <c r="C11" i="1" s="1"/>
  <c r="Q11" i="1" s="1"/>
  <c r="C12" i="1" s="1"/>
  <c r="Q12" i="1" s="1"/>
  <c r="C13" i="1" s="1"/>
  <c r="Q13" i="1" s="1"/>
  <c r="C14" i="1" s="1"/>
  <c r="Q14" i="1" s="1"/>
  <c r="C15" i="1" s="1"/>
  <c r="Q15" i="1" s="1"/>
  <c r="C16" i="1" s="1"/>
  <c r="Q16" i="1" s="1"/>
  <c r="C17" i="1" s="1"/>
  <c r="Q17" i="1" s="1"/>
  <c r="C18" i="1" s="1"/>
  <c r="Q18" i="1" s="1"/>
  <c r="C19" i="1" s="1"/>
  <c r="Q19" i="1" s="1"/>
  <c r="C20" i="1" s="1"/>
  <c r="Q20" i="1" s="1"/>
  <c r="C21" i="1" s="1"/>
  <c r="Q21" i="1" s="1"/>
  <c r="C22" i="1" s="1"/>
  <c r="Q22" i="1" s="1"/>
  <c r="C23" i="1" s="1"/>
  <c r="Q23" i="1" s="1"/>
  <c r="C24" i="1" s="1"/>
  <c r="Q24" i="1" s="1"/>
  <c r="C25" i="1" s="1"/>
  <c r="Q25" i="1" s="1"/>
  <c r="C26" i="1" s="1"/>
  <c r="Q26" i="1" s="1"/>
  <c r="C27" i="1" s="1"/>
  <c r="Q27" i="1" s="1"/>
  <c r="C28" i="1" s="1"/>
  <c r="Q28" i="1" s="1"/>
  <c r="C29" i="1" s="1"/>
  <c r="Q29" i="1" s="1"/>
  <c r="C30" i="1" s="1"/>
  <c r="Q30" i="1" s="1"/>
  <c r="C31" i="1" s="1"/>
  <c r="Q31" i="1" s="1"/>
  <c r="C32" i="1" s="1"/>
  <c r="Q32" i="1" s="1"/>
  <c r="C33" i="1" s="1"/>
  <c r="Q33" i="1" s="1"/>
  <c r="C34" i="1" s="1"/>
  <c r="Q34" i="1" s="1"/>
  <c r="C35" i="1" s="1"/>
  <c r="Q35" i="1" s="1"/>
  <c r="C36" i="1" s="1"/>
  <c r="Q36" i="1" s="1"/>
  <c r="L428" i="1"/>
  <c r="K16" i="2" s="1"/>
  <c r="N428" i="1"/>
  <c r="M16" i="2" s="1"/>
  <c r="J5" i="2"/>
  <c r="K434" i="1"/>
  <c r="J19" i="2" s="1"/>
  <c r="I434" i="1"/>
  <c r="H19" i="2" s="1"/>
  <c r="J434" i="1"/>
  <c r="I5" i="2"/>
  <c r="H434" i="1"/>
  <c r="G19" i="2" s="1"/>
  <c r="O143" i="1"/>
  <c r="N8" i="2" s="1"/>
  <c r="O321" i="1"/>
  <c r="N13" i="2" s="1"/>
  <c r="L392" i="1"/>
  <c r="K15" i="2" s="1"/>
  <c r="N392" i="1"/>
  <c r="M15" i="2" s="1"/>
  <c r="L72" i="1"/>
  <c r="K6" i="2" s="1"/>
  <c r="L250" i="1"/>
  <c r="K11" i="2" s="1"/>
  <c r="L143" i="1"/>
  <c r="K8" i="2" s="1"/>
  <c r="L38" i="1"/>
  <c r="L179" i="1"/>
  <c r="K9" i="2" s="1"/>
  <c r="N357" i="1"/>
  <c r="M14" i="2" s="1"/>
  <c r="L357" i="1"/>
  <c r="K14" i="2" s="1"/>
  <c r="G434" i="1"/>
  <c r="F19" i="2" s="1"/>
  <c r="F434" i="1"/>
  <c r="E19" i="2" s="1"/>
  <c r="M434" i="1"/>
  <c r="L19" i="2" s="1"/>
  <c r="E434" i="1"/>
  <c r="D19" i="2" s="1"/>
  <c r="D434" i="1"/>
  <c r="C19" i="2" s="1"/>
  <c r="L321" i="1"/>
  <c r="N321" i="1"/>
  <c r="M13" i="2" s="1"/>
  <c r="O434" i="1" l="1"/>
  <c r="N19" i="2" s="1"/>
  <c r="K5" i="2"/>
  <c r="Q38" i="1"/>
  <c r="L434" i="1"/>
  <c r="K19" i="2" s="1"/>
  <c r="K13" i="2"/>
  <c r="N434" i="1"/>
  <c r="M19" i="2" s="1"/>
  <c r="P5" i="2" l="1"/>
  <c r="B6" i="2" s="1"/>
  <c r="C42" i="1"/>
  <c r="Q42" i="1" l="1"/>
  <c r="C43" i="1" s="1"/>
  <c r="Q43" i="1" s="1"/>
  <c r="C44" i="1" s="1"/>
  <c r="Q44" i="1" s="1"/>
  <c r="C45" i="1" s="1"/>
  <c r="Q45" i="1" s="1"/>
  <c r="C46" i="1" s="1"/>
  <c r="Q46" i="1" s="1"/>
  <c r="C47" i="1" s="1"/>
  <c r="Q47" i="1" s="1"/>
  <c r="C48" i="1" s="1"/>
  <c r="Q48" i="1" s="1"/>
  <c r="C49" i="1" s="1"/>
  <c r="Q49" i="1" s="1"/>
  <c r="C50" i="1" s="1"/>
  <c r="Q50" i="1" s="1"/>
  <c r="C51" i="1" s="1"/>
  <c r="Q51" i="1" s="1"/>
  <c r="C52" i="1" s="1"/>
  <c r="Q52" i="1" s="1"/>
  <c r="C53" i="1" s="1"/>
  <c r="Q53" i="1" s="1"/>
  <c r="C54" i="1" s="1"/>
  <c r="Q54" i="1" s="1"/>
  <c r="C55" i="1" s="1"/>
  <c r="Q55" i="1" s="1"/>
  <c r="C56" i="1" s="1"/>
  <c r="Q56" i="1" s="1"/>
  <c r="C57" i="1" s="1"/>
  <c r="Q57" i="1" s="1"/>
  <c r="C58" i="1" s="1"/>
  <c r="Q58" i="1" s="1"/>
  <c r="C59" i="1" s="1"/>
  <c r="Q59" i="1" s="1"/>
  <c r="C60" i="1" s="1"/>
  <c r="Q60" i="1" s="1"/>
  <c r="C61" i="1" s="1"/>
  <c r="Q61" i="1" s="1"/>
  <c r="C62" i="1" s="1"/>
  <c r="Q62" i="1" s="1"/>
  <c r="C63" i="1" s="1"/>
  <c r="Q63" i="1" s="1"/>
  <c r="C64" i="1" s="1"/>
  <c r="Q64" i="1" s="1"/>
  <c r="C65" i="1" s="1"/>
  <c r="Q65" i="1" s="1"/>
  <c r="C66" i="1" s="1"/>
  <c r="Q66" i="1" s="1"/>
  <c r="C67" i="1" s="1"/>
  <c r="Q67" i="1" s="1"/>
  <c r="C68" i="1" s="1"/>
  <c r="Q68" i="1" s="1"/>
  <c r="C69" i="1" s="1"/>
  <c r="Q69" i="1" s="1"/>
  <c r="C70" i="1" s="1"/>
  <c r="Q70" i="1" s="1"/>
  <c r="Q72" i="1"/>
  <c r="C76" i="1" l="1"/>
  <c r="P6" i="2"/>
  <c r="B7" i="2" s="1"/>
  <c r="Q108" i="1" l="1"/>
  <c r="Q76" i="1"/>
  <c r="C77" i="1" s="1"/>
  <c r="Q77" i="1" s="1"/>
  <c r="C78" i="1" s="1"/>
  <c r="Q78" i="1" s="1"/>
  <c r="C79" i="1" s="1"/>
  <c r="Q79" i="1" s="1"/>
  <c r="C80" i="1" s="1"/>
  <c r="Q80" i="1" s="1"/>
  <c r="C81" i="1" s="1"/>
  <c r="Q81" i="1" s="1"/>
  <c r="C82" i="1" s="1"/>
  <c r="Q82" i="1" s="1"/>
  <c r="C83" i="1" s="1"/>
  <c r="Q83" i="1" s="1"/>
  <c r="C84" i="1" s="1"/>
  <c r="Q84" i="1" s="1"/>
  <c r="C85" i="1" s="1"/>
  <c r="Q85" i="1" s="1"/>
  <c r="C86" i="1" s="1"/>
  <c r="Q86" i="1" s="1"/>
  <c r="C87" i="1" s="1"/>
  <c r="Q87" i="1" s="1"/>
  <c r="C88" i="1" s="1"/>
  <c r="Q88" i="1" s="1"/>
  <c r="C89" i="1" s="1"/>
  <c r="Q89" i="1" s="1"/>
  <c r="C90" i="1" s="1"/>
  <c r="Q90" i="1" s="1"/>
  <c r="C91" i="1" s="1"/>
  <c r="Q91" i="1" s="1"/>
  <c r="C92" i="1" s="1"/>
  <c r="Q92" i="1" s="1"/>
  <c r="C93" i="1" s="1"/>
  <c r="Q93" i="1" s="1"/>
  <c r="C94" i="1" s="1"/>
  <c r="Q94" i="1" s="1"/>
  <c r="C95" i="1" s="1"/>
  <c r="Q95" i="1" s="1"/>
  <c r="C96" i="1" s="1"/>
  <c r="Q96" i="1" s="1"/>
  <c r="C97" i="1" s="1"/>
  <c r="Q97" i="1" s="1"/>
  <c r="C98" i="1" s="1"/>
  <c r="Q98" i="1" s="1"/>
  <c r="C99" i="1" s="1"/>
  <c r="Q99" i="1" s="1"/>
  <c r="C100" i="1" s="1"/>
  <c r="Q100" i="1" s="1"/>
  <c r="C101" i="1" s="1"/>
  <c r="Q101" i="1" s="1"/>
  <c r="C102" i="1" s="1"/>
  <c r="Q102" i="1" s="1"/>
  <c r="C103" i="1" s="1"/>
  <c r="Q103" i="1" s="1"/>
  <c r="C104" i="1" s="1"/>
  <c r="Q104" i="1" s="1"/>
  <c r="C105" i="1" s="1"/>
  <c r="Q105" i="1" s="1"/>
  <c r="C106" i="1" s="1"/>
  <c r="Q106" i="1" s="1"/>
  <c r="P7" i="2" l="1"/>
  <c r="B8" i="2" s="1"/>
  <c r="C112" i="1"/>
  <c r="Q112" i="1" l="1"/>
  <c r="C113" i="1" s="1"/>
  <c r="Q113" i="1" s="1"/>
  <c r="C114" i="1" s="1"/>
  <c r="Q114" i="1" s="1"/>
  <c r="C115" i="1" s="1"/>
  <c r="Q115" i="1" s="1"/>
  <c r="C116" i="1" s="1"/>
  <c r="Q116" i="1" s="1"/>
  <c r="C117" i="1" s="1"/>
  <c r="Q117" i="1" s="1"/>
  <c r="C118" i="1" s="1"/>
  <c r="Q118" i="1" s="1"/>
  <c r="C119" i="1" s="1"/>
  <c r="Q119" i="1" s="1"/>
  <c r="C120" i="1" s="1"/>
  <c r="Q120" i="1" s="1"/>
  <c r="C121" i="1" s="1"/>
  <c r="Q121" i="1" s="1"/>
  <c r="C122" i="1" s="1"/>
  <c r="Q122" i="1" s="1"/>
  <c r="C123" i="1" s="1"/>
  <c r="Q123" i="1" s="1"/>
  <c r="C124" i="1" s="1"/>
  <c r="Q124" i="1" s="1"/>
  <c r="C125" i="1" s="1"/>
  <c r="Q125" i="1" s="1"/>
  <c r="C126" i="1" s="1"/>
  <c r="Q126" i="1" s="1"/>
  <c r="C127" i="1" s="1"/>
  <c r="Q127" i="1" s="1"/>
  <c r="C128" i="1" s="1"/>
  <c r="Q128" i="1" s="1"/>
  <c r="C129" i="1" s="1"/>
  <c r="Q129" i="1" s="1"/>
  <c r="C130" i="1" s="1"/>
  <c r="Q130" i="1" s="1"/>
  <c r="C131" i="1" s="1"/>
  <c r="Q131" i="1" s="1"/>
  <c r="C132" i="1" s="1"/>
  <c r="Q132" i="1" s="1"/>
  <c r="C133" i="1" s="1"/>
  <c r="Q133" i="1" s="1"/>
  <c r="C134" i="1" s="1"/>
  <c r="Q134" i="1" s="1"/>
  <c r="C135" i="1" s="1"/>
  <c r="Q135" i="1" s="1"/>
  <c r="C136" i="1" s="1"/>
  <c r="Q136" i="1" s="1"/>
  <c r="C137" i="1" s="1"/>
  <c r="Q137" i="1" s="1"/>
  <c r="C138" i="1" s="1"/>
  <c r="Q138" i="1" s="1"/>
  <c r="C139" i="1" s="1"/>
  <c r="Q139" i="1" s="1"/>
  <c r="C140" i="1" s="1"/>
  <c r="Q140" i="1" s="1"/>
  <c r="C141" i="1" s="1"/>
  <c r="Q141" i="1" s="1"/>
  <c r="C147" i="1" s="1"/>
  <c r="Q143" i="1"/>
  <c r="P8" i="2" s="1"/>
  <c r="B9" i="2" s="1"/>
  <c r="Q147" i="1" l="1"/>
  <c r="C148" i="1" s="1"/>
  <c r="Q148" i="1" s="1"/>
  <c r="C149" i="1" s="1"/>
  <c r="Q149" i="1" s="1"/>
  <c r="C150" i="1" s="1"/>
  <c r="Q150" i="1" s="1"/>
  <c r="C151" i="1" s="1"/>
  <c r="Q151" i="1" s="1"/>
  <c r="C152" i="1" s="1"/>
  <c r="Q152" i="1" s="1"/>
  <c r="C153" i="1" s="1"/>
  <c r="Q153" i="1" s="1"/>
  <c r="C154" i="1" s="1"/>
  <c r="Q154" i="1" s="1"/>
  <c r="C155" i="1" s="1"/>
  <c r="Q155" i="1" s="1"/>
  <c r="C156" i="1" s="1"/>
  <c r="Q156" i="1" s="1"/>
  <c r="C157" i="1" s="1"/>
  <c r="Q157" i="1" s="1"/>
  <c r="C158" i="1" s="1"/>
  <c r="Q158" i="1" s="1"/>
  <c r="C159" i="1" s="1"/>
  <c r="Q159" i="1" s="1"/>
  <c r="C160" i="1" s="1"/>
  <c r="Q160" i="1" s="1"/>
  <c r="C161" i="1" s="1"/>
  <c r="Q161" i="1" s="1"/>
  <c r="C162" i="1" s="1"/>
  <c r="Q162" i="1" s="1"/>
  <c r="C163" i="1" s="1"/>
  <c r="Q163" i="1" s="1"/>
  <c r="C164" i="1" s="1"/>
  <c r="Q164" i="1" s="1"/>
  <c r="C165" i="1" s="1"/>
  <c r="Q165" i="1" s="1"/>
  <c r="C166" i="1" s="1"/>
  <c r="Q166" i="1" s="1"/>
  <c r="C167" i="1" s="1"/>
  <c r="Q167" i="1" s="1"/>
  <c r="C168" i="1" s="1"/>
  <c r="Q168" i="1" s="1"/>
  <c r="C169" i="1" s="1"/>
  <c r="Q169" i="1" s="1"/>
  <c r="C170" i="1" s="1"/>
  <c r="Q170" i="1" s="1"/>
  <c r="C171" i="1" s="1"/>
  <c r="Q171" i="1" s="1"/>
  <c r="C172" i="1" s="1"/>
  <c r="Q172" i="1" s="1"/>
  <c r="C173" i="1" s="1"/>
  <c r="Q173" i="1" s="1"/>
  <c r="C174" i="1" s="1"/>
  <c r="Q174" i="1" s="1"/>
  <c r="C175" i="1" s="1"/>
  <c r="Q175" i="1" s="1"/>
  <c r="C176" i="1" s="1"/>
  <c r="Q176" i="1" s="1"/>
  <c r="C177" i="1" s="1"/>
  <c r="Q177" i="1" s="1"/>
  <c r="C183" i="1" s="1"/>
  <c r="Q179" i="1"/>
  <c r="P9" i="2" s="1"/>
  <c r="B10" i="2" s="1"/>
  <c r="Q183" i="1" l="1"/>
  <c r="C184" i="1" s="1"/>
  <c r="Q184" i="1" s="1"/>
  <c r="C185" i="1" s="1"/>
  <c r="Q185" i="1" s="1"/>
  <c r="C186" i="1" s="1"/>
  <c r="Q186" i="1" s="1"/>
  <c r="C187" i="1" s="1"/>
  <c r="Q187" i="1" s="1"/>
  <c r="C188" i="1" s="1"/>
  <c r="Q188" i="1" s="1"/>
  <c r="C189" i="1" s="1"/>
  <c r="Q189" i="1" s="1"/>
  <c r="C190" i="1" s="1"/>
  <c r="Q190" i="1" s="1"/>
  <c r="C191" i="1" s="1"/>
  <c r="Q191" i="1" s="1"/>
  <c r="C192" i="1" s="1"/>
  <c r="Q192" i="1" s="1"/>
  <c r="C193" i="1" s="1"/>
  <c r="Q193" i="1" s="1"/>
  <c r="C194" i="1" s="1"/>
  <c r="Q194" i="1" s="1"/>
  <c r="C195" i="1" s="1"/>
  <c r="Q195" i="1" s="1"/>
  <c r="C196" i="1" s="1"/>
  <c r="Q196" i="1" s="1"/>
  <c r="C197" i="1" s="1"/>
  <c r="Q197" i="1" s="1"/>
  <c r="C198" i="1" s="1"/>
  <c r="Q198" i="1" s="1"/>
  <c r="C199" i="1" s="1"/>
  <c r="Q199" i="1" s="1"/>
  <c r="C200" i="1" s="1"/>
  <c r="Q200" i="1" s="1"/>
  <c r="C201" i="1" s="1"/>
  <c r="Q201" i="1" s="1"/>
  <c r="C202" i="1" s="1"/>
  <c r="Q202" i="1" s="1"/>
  <c r="C203" i="1" s="1"/>
  <c r="Q203" i="1" s="1"/>
  <c r="C204" i="1" s="1"/>
  <c r="Q204" i="1" s="1"/>
  <c r="C205" i="1" s="1"/>
  <c r="Q205" i="1" s="1"/>
  <c r="C206" i="1" s="1"/>
  <c r="Q206" i="1" s="1"/>
  <c r="C207" i="1" s="1"/>
  <c r="Q207" i="1" s="1"/>
  <c r="C208" i="1" s="1"/>
  <c r="Q208" i="1" s="1"/>
  <c r="C209" i="1" s="1"/>
  <c r="Q209" i="1" s="1"/>
  <c r="C210" i="1" s="1"/>
  <c r="Q210" i="1" s="1"/>
  <c r="C211" i="1" s="1"/>
  <c r="Q211" i="1" s="1"/>
  <c r="C212" i="1" s="1"/>
  <c r="Q212" i="1" s="1"/>
  <c r="C218" i="1" s="1"/>
  <c r="Q214" i="1"/>
  <c r="P10" i="2" s="1"/>
  <c r="B11" i="2" s="1"/>
  <c r="Q250" i="1" l="1"/>
  <c r="P11" i="2" s="1"/>
  <c r="B12" i="2" s="1"/>
  <c r="Q218" i="1"/>
  <c r="C219" i="1" s="1"/>
  <c r="Q219" i="1" s="1"/>
  <c r="C220" i="1" s="1"/>
  <c r="Q220" i="1" s="1"/>
  <c r="C221" i="1" s="1"/>
  <c r="Q221" i="1" s="1"/>
  <c r="C222" i="1" s="1"/>
  <c r="Q222" i="1" s="1"/>
  <c r="C223" i="1" s="1"/>
  <c r="Q223" i="1" s="1"/>
  <c r="C224" i="1" s="1"/>
  <c r="Q224" i="1" s="1"/>
  <c r="C225" i="1" s="1"/>
  <c r="Q225" i="1" s="1"/>
  <c r="C226" i="1" s="1"/>
  <c r="Q226" i="1" s="1"/>
  <c r="C227" i="1" s="1"/>
  <c r="Q227" i="1" s="1"/>
  <c r="C228" i="1" s="1"/>
  <c r="Q228" i="1" s="1"/>
  <c r="C229" i="1" s="1"/>
  <c r="Q229" i="1" s="1"/>
  <c r="C230" i="1" s="1"/>
  <c r="Q230" i="1" s="1"/>
  <c r="C231" i="1" s="1"/>
  <c r="Q231" i="1" s="1"/>
  <c r="C232" i="1" s="1"/>
  <c r="Q232" i="1" s="1"/>
  <c r="C233" i="1" s="1"/>
  <c r="Q233" i="1" s="1"/>
  <c r="C234" i="1" s="1"/>
  <c r="Q234" i="1" s="1"/>
  <c r="C235" i="1" s="1"/>
  <c r="Q235" i="1" s="1"/>
  <c r="C236" i="1" s="1"/>
  <c r="Q236" i="1" s="1"/>
  <c r="C237" i="1" s="1"/>
  <c r="Q237" i="1" s="1"/>
  <c r="C238" i="1" s="1"/>
  <c r="Q238" i="1" s="1"/>
  <c r="C239" i="1" s="1"/>
  <c r="Q239" i="1" s="1"/>
  <c r="C240" i="1" s="1"/>
  <c r="Q240" i="1" s="1"/>
  <c r="C241" i="1" s="1"/>
  <c r="Q241" i="1" s="1"/>
  <c r="C242" i="1" s="1"/>
  <c r="Q242" i="1" s="1"/>
  <c r="C243" i="1" s="1"/>
  <c r="Q243" i="1" s="1"/>
  <c r="C244" i="1" s="1"/>
  <c r="Q244" i="1" s="1"/>
  <c r="C245" i="1" s="1"/>
  <c r="Q245" i="1" s="1"/>
  <c r="C246" i="1" s="1"/>
  <c r="Q246" i="1" s="1"/>
  <c r="C247" i="1" s="1"/>
  <c r="Q247" i="1" s="1"/>
  <c r="C248" i="1" s="1"/>
  <c r="Q248" i="1" s="1"/>
  <c r="C254" i="1" s="1"/>
  <c r="Q286" i="1" l="1"/>
  <c r="P12" i="2" s="1"/>
  <c r="B13" i="2" s="1"/>
  <c r="Q254" i="1"/>
  <c r="C255" i="1" s="1"/>
  <c r="Q255" i="1" s="1"/>
  <c r="C256" i="1" s="1"/>
  <c r="Q256" i="1" s="1"/>
  <c r="C257" i="1" s="1"/>
  <c r="Q257" i="1" s="1"/>
  <c r="C258" i="1" s="1"/>
  <c r="Q258" i="1" s="1"/>
  <c r="C259" i="1" s="1"/>
  <c r="Q259" i="1" s="1"/>
  <c r="C260" i="1" s="1"/>
  <c r="Q260" i="1" s="1"/>
  <c r="C261" i="1" s="1"/>
  <c r="Q261" i="1" s="1"/>
  <c r="C262" i="1" s="1"/>
  <c r="Q262" i="1" s="1"/>
  <c r="C263" i="1" s="1"/>
  <c r="Q263" i="1" s="1"/>
  <c r="C264" i="1" s="1"/>
  <c r="Q264" i="1" s="1"/>
  <c r="C265" i="1" s="1"/>
  <c r="Q265" i="1" s="1"/>
  <c r="C266" i="1" s="1"/>
  <c r="Q266" i="1" s="1"/>
  <c r="C267" i="1" s="1"/>
  <c r="Q267" i="1" s="1"/>
  <c r="C268" i="1" s="1"/>
  <c r="Q268" i="1" s="1"/>
  <c r="C269" i="1" s="1"/>
  <c r="Q269" i="1" s="1"/>
  <c r="C270" i="1" s="1"/>
  <c r="Q270" i="1" s="1"/>
  <c r="C271" i="1" s="1"/>
  <c r="Q271" i="1" s="1"/>
  <c r="C272" i="1" s="1"/>
  <c r="Q272" i="1" s="1"/>
  <c r="C273" i="1" s="1"/>
  <c r="Q273" i="1" s="1"/>
  <c r="C274" i="1" s="1"/>
  <c r="Q274" i="1" s="1"/>
  <c r="C275" i="1" s="1"/>
  <c r="Q275" i="1" s="1"/>
  <c r="C276" i="1" s="1"/>
  <c r="Q276" i="1" s="1"/>
  <c r="C277" i="1" s="1"/>
  <c r="Q277" i="1" s="1"/>
  <c r="C278" i="1" s="1"/>
  <c r="Q278" i="1" s="1"/>
  <c r="C279" i="1" s="1"/>
  <c r="Q279" i="1" s="1"/>
  <c r="C280" i="1" s="1"/>
  <c r="Q280" i="1" s="1"/>
  <c r="C281" i="1" s="1"/>
  <c r="Q281" i="1" s="1"/>
  <c r="C282" i="1" s="1"/>
  <c r="Q282" i="1" s="1"/>
  <c r="C283" i="1" s="1"/>
  <c r="Q283" i="1" s="1"/>
  <c r="C284" i="1" s="1"/>
  <c r="Q284" i="1" s="1"/>
  <c r="C290" i="1" s="1"/>
  <c r="Q321" i="1" l="1"/>
  <c r="P13" i="2" s="1"/>
  <c r="B14" i="2" s="1"/>
  <c r="Q290" i="1"/>
  <c r="C291" i="1" s="1"/>
  <c r="Q291" i="1" s="1"/>
  <c r="C292" i="1" s="1"/>
  <c r="Q292" i="1" s="1"/>
  <c r="C293" i="1" s="1"/>
  <c r="Q293" i="1" s="1"/>
  <c r="C294" i="1" s="1"/>
  <c r="Q294" i="1" s="1"/>
  <c r="C295" i="1" s="1"/>
  <c r="Q295" i="1" s="1"/>
  <c r="C296" i="1" s="1"/>
  <c r="Q296" i="1" s="1"/>
  <c r="C297" i="1" s="1"/>
  <c r="Q297" i="1" s="1"/>
  <c r="C298" i="1" s="1"/>
  <c r="Q298" i="1" s="1"/>
  <c r="C299" i="1" s="1"/>
  <c r="Q299" i="1" s="1"/>
  <c r="C300" i="1" s="1"/>
  <c r="Q300" i="1" s="1"/>
  <c r="C301" i="1" s="1"/>
  <c r="Q301" i="1" s="1"/>
  <c r="C302" i="1" s="1"/>
  <c r="Q302" i="1" s="1"/>
  <c r="C303" i="1" s="1"/>
  <c r="Q303" i="1" s="1"/>
  <c r="C304" i="1" s="1"/>
  <c r="Q304" i="1" s="1"/>
  <c r="C305" i="1" s="1"/>
  <c r="Q305" i="1" s="1"/>
  <c r="C306" i="1" s="1"/>
  <c r="Q306" i="1" s="1"/>
  <c r="C307" i="1" s="1"/>
  <c r="Q307" i="1" s="1"/>
  <c r="C308" i="1" s="1"/>
  <c r="Q308" i="1" s="1"/>
  <c r="C309" i="1" s="1"/>
  <c r="Q309" i="1" s="1"/>
  <c r="C310" i="1" s="1"/>
  <c r="Q310" i="1" s="1"/>
  <c r="C311" i="1" s="1"/>
  <c r="Q311" i="1" s="1"/>
  <c r="C312" i="1" s="1"/>
  <c r="Q312" i="1" s="1"/>
  <c r="C313" i="1" s="1"/>
  <c r="Q313" i="1" s="1"/>
  <c r="C314" i="1" s="1"/>
  <c r="Q314" i="1" s="1"/>
  <c r="C315" i="1" s="1"/>
  <c r="Q315" i="1" s="1"/>
  <c r="C316" i="1" s="1"/>
  <c r="Q316" i="1" s="1"/>
  <c r="C317" i="1" s="1"/>
  <c r="Q317" i="1" s="1"/>
  <c r="C318" i="1" s="1"/>
  <c r="Q318" i="1" s="1"/>
  <c r="C319" i="1" s="1"/>
  <c r="Q319" i="1" s="1"/>
  <c r="C325" i="1" s="1"/>
  <c r="Q325" i="1" l="1"/>
  <c r="C326" i="1" s="1"/>
  <c r="Q326" i="1" s="1"/>
  <c r="C327" i="1" s="1"/>
  <c r="Q327" i="1" s="1"/>
  <c r="C328" i="1" s="1"/>
  <c r="Q328" i="1" s="1"/>
  <c r="C329" i="1" s="1"/>
  <c r="Q329" i="1" s="1"/>
  <c r="C330" i="1" s="1"/>
  <c r="Q330" i="1" s="1"/>
  <c r="C331" i="1" s="1"/>
  <c r="Q331" i="1" s="1"/>
  <c r="C332" i="1" s="1"/>
  <c r="Q332" i="1" s="1"/>
  <c r="C333" i="1" s="1"/>
  <c r="Q333" i="1" s="1"/>
  <c r="C334" i="1" s="1"/>
  <c r="Q334" i="1" s="1"/>
  <c r="C335" i="1" s="1"/>
  <c r="Q335" i="1" s="1"/>
  <c r="C336" i="1" s="1"/>
  <c r="Q336" i="1" s="1"/>
  <c r="C337" i="1" s="1"/>
  <c r="Q337" i="1" s="1"/>
  <c r="C338" i="1" s="1"/>
  <c r="Q338" i="1" s="1"/>
  <c r="C339" i="1" s="1"/>
  <c r="Q339" i="1" s="1"/>
  <c r="C340" i="1" s="1"/>
  <c r="Q340" i="1" s="1"/>
  <c r="C341" i="1" s="1"/>
  <c r="Q341" i="1" s="1"/>
  <c r="C342" i="1" s="1"/>
  <c r="Q342" i="1" s="1"/>
  <c r="C343" i="1" s="1"/>
  <c r="Q343" i="1" s="1"/>
  <c r="C344" i="1" s="1"/>
  <c r="Q344" i="1" s="1"/>
  <c r="C345" i="1" s="1"/>
  <c r="Q345" i="1" s="1"/>
  <c r="C346" i="1" s="1"/>
  <c r="Q346" i="1" s="1"/>
  <c r="C347" i="1" s="1"/>
  <c r="Q347" i="1" s="1"/>
  <c r="C348" i="1" s="1"/>
  <c r="Q348" i="1" s="1"/>
  <c r="C349" i="1" s="1"/>
  <c r="Q349" i="1" s="1"/>
  <c r="C350" i="1" s="1"/>
  <c r="Q350" i="1" s="1"/>
  <c r="C351" i="1" s="1"/>
  <c r="Q351" i="1" s="1"/>
  <c r="C352" i="1" s="1"/>
  <c r="Q352" i="1" s="1"/>
  <c r="C353" i="1" s="1"/>
  <c r="Q353" i="1" s="1"/>
  <c r="C354" i="1" s="1"/>
  <c r="Q354" i="1" s="1"/>
  <c r="C355" i="1" s="1"/>
  <c r="Q355" i="1" s="1"/>
  <c r="C361" i="1" s="1"/>
  <c r="Q357" i="1"/>
  <c r="P14" i="2" s="1"/>
  <c r="B15" i="2" s="1"/>
  <c r="Q361" i="1" l="1"/>
  <c r="C362" i="1" s="1"/>
  <c r="Q362" i="1" s="1"/>
  <c r="C363" i="1" s="1"/>
  <c r="Q363" i="1" s="1"/>
  <c r="C364" i="1" s="1"/>
  <c r="Q364" i="1" s="1"/>
  <c r="C365" i="1" s="1"/>
  <c r="Q365" i="1" s="1"/>
  <c r="C366" i="1" s="1"/>
  <c r="Q366" i="1" s="1"/>
  <c r="C367" i="1" s="1"/>
  <c r="Q367" i="1" s="1"/>
  <c r="C368" i="1" s="1"/>
  <c r="Q368" i="1" s="1"/>
  <c r="C369" i="1" s="1"/>
  <c r="Q369" i="1" s="1"/>
  <c r="C370" i="1" s="1"/>
  <c r="Q370" i="1" s="1"/>
  <c r="C371" i="1" s="1"/>
  <c r="Q371" i="1" s="1"/>
  <c r="C372" i="1" s="1"/>
  <c r="Q372" i="1" s="1"/>
  <c r="C373" i="1" s="1"/>
  <c r="Q373" i="1" s="1"/>
  <c r="C374" i="1" s="1"/>
  <c r="Q374" i="1" s="1"/>
  <c r="C375" i="1" s="1"/>
  <c r="Q375" i="1" s="1"/>
  <c r="C376" i="1" s="1"/>
  <c r="Q376" i="1" s="1"/>
  <c r="C377" i="1" s="1"/>
  <c r="Q377" i="1" s="1"/>
  <c r="C378" i="1" s="1"/>
  <c r="Q378" i="1" s="1"/>
  <c r="C379" i="1" s="1"/>
  <c r="Q379" i="1" s="1"/>
  <c r="C380" i="1" s="1"/>
  <c r="Q380" i="1" s="1"/>
  <c r="C381" i="1" s="1"/>
  <c r="Q381" i="1" s="1"/>
  <c r="C382" i="1" s="1"/>
  <c r="Q382" i="1" s="1"/>
  <c r="C383" i="1" s="1"/>
  <c r="Q383" i="1" s="1"/>
  <c r="C384" i="1" s="1"/>
  <c r="Q384" i="1" s="1"/>
  <c r="C385" i="1" s="1"/>
  <c r="Q385" i="1" s="1"/>
  <c r="C386" i="1" s="1"/>
  <c r="Q386" i="1" s="1"/>
  <c r="C387" i="1" s="1"/>
  <c r="Q387" i="1" s="1"/>
  <c r="C388" i="1" s="1"/>
  <c r="Q388" i="1" s="1"/>
  <c r="C389" i="1" s="1"/>
  <c r="Q389" i="1" s="1"/>
  <c r="C390" i="1" s="1"/>
  <c r="Q390" i="1" s="1"/>
  <c r="C396" i="1" s="1"/>
  <c r="Q392" i="1"/>
  <c r="P15" i="2" s="1"/>
  <c r="B16" i="2" s="1"/>
  <c r="Q396" i="1" l="1"/>
  <c r="C397" i="1" s="1"/>
  <c r="Q397" i="1" s="1"/>
  <c r="C398" i="1" s="1"/>
  <c r="Q398" i="1" s="1"/>
  <c r="C399" i="1" s="1"/>
  <c r="Q399" i="1" s="1"/>
  <c r="C400" i="1" s="1"/>
  <c r="Q400" i="1" s="1"/>
  <c r="C401" i="1" s="1"/>
  <c r="Q401" i="1" s="1"/>
  <c r="C402" i="1" s="1"/>
  <c r="Q402" i="1" s="1"/>
  <c r="C403" i="1" s="1"/>
  <c r="Q403" i="1" s="1"/>
  <c r="C404" i="1" s="1"/>
  <c r="Q404" i="1" s="1"/>
  <c r="C405" i="1" s="1"/>
  <c r="Q405" i="1" s="1"/>
  <c r="C406" i="1" s="1"/>
  <c r="Q406" i="1" s="1"/>
  <c r="C407" i="1" s="1"/>
  <c r="Q407" i="1" s="1"/>
  <c r="C408" i="1" s="1"/>
  <c r="Q408" i="1" s="1"/>
  <c r="C409" i="1" s="1"/>
  <c r="Q409" i="1" s="1"/>
  <c r="C410" i="1" s="1"/>
  <c r="Q410" i="1" s="1"/>
  <c r="C411" i="1" s="1"/>
  <c r="Q411" i="1" s="1"/>
  <c r="C412" i="1" s="1"/>
  <c r="Q412" i="1" s="1"/>
  <c r="C413" i="1" s="1"/>
  <c r="Q413" i="1" s="1"/>
  <c r="C414" i="1" s="1"/>
  <c r="Q414" i="1" s="1"/>
  <c r="C415" i="1" s="1"/>
  <c r="Q415" i="1" s="1"/>
  <c r="C416" i="1" s="1"/>
  <c r="Q416" i="1" s="1"/>
  <c r="C417" i="1" s="1"/>
  <c r="Q417" i="1" s="1"/>
  <c r="C418" i="1" s="1"/>
  <c r="Q418" i="1" s="1"/>
  <c r="C419" i="1" s="1"/>
  <c r="Q419" i="1" s="1"/>
  <c r="C420" i="1" s="1"/>
  <c r="Q420" i="1" s="1"/>
  <c r="C421" i="1" s="1"/>
  <c r="Q421" i="1" s="1"/>
  <c r="C422" i="1" s="1"/>
  <c r="Q422" i="1" s="1"/>
  <c r="C423" i="1" s="1"/>
  <c r="Q423" i="1" s="1"/>
  <c r="C424" i="1" s="1"/>
  <c r="Q424" i="1" s="1"/>
  <c r="C425" i="1" s="1"/>
  <c r="Q425" i="1" s="1"/>
  <c r="C426" i="1" s="1"/>
  <c r="Q426" i="1" s="1"/>
  <c r="Q428" i="1"/>
  <c r="P16" i="2" s="1"/>
</calcChain>
</file>

<file path=xl/sharedStrings.xml><?xml version="1.0" encoding="utf-8"?>
<sst xmlns="http://schemas.openxmlformats.org/spreadsheetml/2006/main" count="695" uniqueCount="105">
  <si>
    <t>التاريخ</t>
  </si>
  <si>
    <t xml:space="preserve">اليوم </t>
  </si>
  <si>
    <t>رصيد الصندوق في بداية اليوم</t>
  </si>
  <si>
    <t>المبيعات النقدية</t>
  </si>
  <si>
    <t>مبيعات الشبكة</t>
  </si>
  <si>
    <t>اجمالي المبيعات</t>
  </si>
  <si>
    <t>الايداعات</t>
  </si>
  <si>
    <t>الشبكة</t>
  </si>
  <si>
    <t>مسحوبات غير نقدية</t>
  </si>
  <si>
    <t>المصاريف معمدة من الادارة</t>
  </si>
  <si>
    <t>رصيد الصندوق في نهاية اليوم</t>
  </si>
  <si>
    <t>ملاحظات</t>
  </si>
  <si>
    <t>الشبكة السعودية</t>
  </si>
  <si>
    <t>الفيزا</t>
  </si>
  <si>
    <t>الماستر كارد</t>
  </si>
  <si>
    <t>الامريكانا اكسبريس</t>
  </si>
  <si>
    <t>الإثنين</t>
  </si>
  <si>
    <t>الثلاثاء</t>
  </si>
  <si>
    <t>الأربعاء</t>
  </si>
  <si>
    <t>الخميس</t>
  </si>
  <si>
    <t>الجمعه</t>
  </si>
  <si>
    <t>السبت</t>
  </si>
  <si>
    <t>الأحد</t>
  </si>
  <si>
    <t>الاحد</t>
  </si>
  <si>
    <t>الاثنين</t>
  </si>
  <si>
    <t>الاربعاء</t>
  </si>
  <si>
    <t>الجمعة</t>
  </si>
  <si>
    <t xml:space="preserve">الاحد </t>
  </si>
  <si>
    <t>الشهر</t>
  </si>
  <si>
    <t xml:space="preserve">عزيزي / مدير المعرض </t>
  </si>
  <si>
    <t xml:space="preserve">نامل التقيد بالتعليمات التالية  والخاصة بالادارة المالية </t>
  </si>
  <si>
    <t xml:space="preserve">التقيد التام بتسجيل المبيعات بشكل يومي  وارسال الملف للادارة المالية بنهاية كل يوم او بداية اليوم التالي </t>
  </si>
  <si>
    <t xml:space="preserve">النقد الموجود نتيجة المبيعات هو عهدة على مدير المعرض ونائبة لحين ايداعه بحساب الشركة الرسمي </t>
  </si>
  <si>
    <t xml:space="preserve">لا يسمح اطلاقا تسليم اي موظف بالشركة ايا كانت وظيفته اي مبلغ نقدي وملزم مدير المعرض بهذه المبالغ في حال تجاوزه للتعليمات </t>
  </si>
  <si>
    <t xml:space="preserve">رقم تسلسل الايداع </t>
  </si>
  <si>
    <t xml:space="preserve">التقيد  بتسجيل رقم الايداع بشكل متسلسل ليتم الوصول ومراجعة اي ايداع بشكل متسلسل ( عمود رقم تسلسل الايداع )  </t>
  </si>
  <si>
    <t>التقيد بارسال حركة الموازنة ضمن حركة ارسال ملف المبيعات</t>
  </si>
  <si>
    <t xml:space="preserve">التقيد بارسال حركة الموازنة شريطة ان تكون متوازنة </t>
  </si>
  <si>
    <t>التقيد بارسال فواتير المشتريات بشكل منتظم اسبوعيا</t>
  </si>
  <si>
    <t>التقيد بمطابقة المبيعات بشكل يومي وبنهاية كل اسبوع وبنهاية كل شهر وتصحيح الفرق ان وجد واطلاع الادارة على التعديل</t>
  </si>
  <si>
    <t xml:space="preserve">يمنع منعا بات تعديل اي بيانات لحركة المبيعات لشهر سابق تم اعتماده مسبقا </t>
  </si>
  <si>
    <t xml:space="preserve">يمنع صرف اي بضاعة من المعرض الا بموجب مستند رسمي ( مرتجع للمورد او طلب عينات ) </t>
  </si>
  <si>
    <t xml:space="preserve">يمنع ادخال اي بضاعة الى المعرض الا بموجب فاتورة رسمية مقترنة بامرالشراء </t>
  </si>
  <si>
    <t xml:space="preserve">يتم استلام امر الشراء حسب الكمية الورادة فعليا </t>
  </si>
  <si>
    <t>تمارا</t>
  </si>
  <si>
    <t>كوبونات الجمعيات</t>
  </si>
  <si>
    <t>مبيعات اخرى</t>
  </si>
  <si>
    <t>اجمالي الحركة لعام 2026</t>
  </si>
  <si>
    <t>الاجمالي الكلي لعام 2026</t>
  </si>
  <si>
    <t>المبيعات اليومية عن عام 2026 لمعرض</t>
  </si>
  <si>
    <t>يناير 2026</t>
  </si>
  <si>
    <t>فبراير 2026</t>
  </si>
  <si>
    <t>مارس 2026</t>
  </si>
  <si>
    <t>ابريل 2026</t>
  </si>
  <si>
    <t>مايو 2026</t>
  </si>
  <si>
    <t>يونيو 2026</t>
  </si>
  <si>
    <t>يوليو 2026</t>
  </si>
  <si>
    <t>اغسطس 2026</t>
  </si>
  <si>
    <t>سبتمبر 2026</t>
  </si>
  <si>
    <t>اكتوبر 2026</t>
  </si>
  <si>
    <t>نوفمبر 2026</t>
  </si>
  <si>
    <t>ديسمبر 2026</t>
  </si>
  <si>
    <t>إيداع رقم 1</t>
  </si>
  <si>
    <t>إيداع رقم 2</t>
  </si>
  <si>
    <t>إيداع رقم 3</t>
  </si>
  <si>
    <t>إيداع رقم 4</t>
  </si>
  <si>
    <t>إيداع رقم 5</t>
  </si>
  <si>
    <t>إيداع رقم 6</t>
  </si>
  <si>
    <t>إيداع بكي رقم 7</t>
  </si>
  <si>
    <t>إيداع بنكي رقم 8</t>
  </si>
  <si>
    <t>إيداع بنكي رقم 9</t>
  </si>
  <si>
    <t>إيداع بنكي رقم 10</t>
  </si>
  <si>
    <t>إيداع بنكي رقم 11</t>
  </si>
  <si>
    <t>إيداع بنكي رقم 12</t>
  </si>
  <si>
    <t>إيداع بنكي رقم 13</t>
  </si>
  <si>
    <t>إيداع بنكي رقم 14</t>
  </si>
  <si>
    <t>إيداع بنكي رقم 15</t>
  </si>
  <si>
    <t>إيداع بنكي رقم 16</t>
  </si>
  <si>
    <t xml:space="preserve">كسوة موظف الدفاع المدني </t>
  </si>
  <si>
    <t>إيداع بنكي رقم 17</t>
  </si>
  <si>
    <t>إيداع بكي 18</t>
  </si>
  <si>
    <t>إيداع بنكي رقم 19</t>
  </si>
  <si>
    <t>إيداع بنكي رقم 20</t>
  </si>
  <si>
    <t>إيداع بنكي 21</t>
  </si>
  <si>
    <t>إيداع بنكي 22</t>
  </si>
  <si>
    <t>عدد2 بطاقة هدية 200</t>
  </si>
  <si>
    <t xml:space="preserve">يونفروم لعدم توفر المقاس </t>
  </si>
  <si>
    <t>إيداع 23</t>
  </si>
  <si>
    <t>إيداع بنكي رقم 24</t>
  </si>
  <si>
    <t>إيداع بنكي رقم 25</t>
  </si>
  <si>
    <t>إيداع بنكي 26</t>
  </si>
  <si>
    <t>إيداع بنكي رقم27</t>
  </si>
  <si>
    <t>إيداع بنكي 28</t>
  </si>
  <si>
    <t>إيداع بنكي 29</t>
  </si>
  <si>
    <t>إيداع بنكي 30</t>
  </si>
  <si>
    <t xml:space="preserve">إيداع بكي 31 </t>
  </si>
  <si>
    <t>إيداع بنكي 32</t>
  </si>
  <si>
    <t>ايدع بنكي 33</t>
  </si>
  <si>
    <t>إيداع بنكي 34</t>
  </si>
  <si>
    <t>إيداع بنكي 35</t>
  </si>
  <si>
    <t>إيداع بنكي 37</t>
  </si>
  <si>
    <t>إيداع بنكي 38</t>
  </si>
  <si>
    <t>موظف الدفاع المدني</t>
  </si>
  <si>
    <t>إيداع بنكي رقم 39</t>
  </si>
  <si>
    <t>إيداع بنكي رقم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</si>
</sst>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dd/mm/yyyy;@"/>
    <numFmt numFmtId="166" formatCode="[$-809]dd\ mmmm\ yyyy;@"/>
    <numFmt numFmtId="167" formatCode="_-* #,##0.00_-;_-* #,##0.00\-;_-* &quot;-&quot;??_-;_-@_-"/>
    <numFmt numFmtId="168" formatCode="_-* #,##0_-;_-* #,##0\-;_-* &quot;-&quot;??_-;_-@_-"/>
    <numFmt numFmtId="169" formatCode="_(* #,##0_);_(* \(#,##0\);_(* &quot;-&quot;??_);_(@_)"/>
  </numFmts>
  <fonts count="7" x14ac:knownFonts="1">
    <font>
      <sz val="11"/>
      <color theme="1"/>
      <name val="Arial"/>
      <family val="2"/>
      <scheme val="minor"/>
    </font>
    <font>
      <sz val="14"/>
      <color theme="1"/>
      <name val="Arial"/>
      <family val="2"/>
      <charset val="178"/>
      <scheme val="minor"/>
    </font>
    <font>
      <sz val="20"/>
      <color theme="1"/>
      <name val="Arial"/>
      <family val="2"/>
      <charset val="178"/>
      <scheme val="minor"/>
    </font>
    <font>
      <b/>
      <sz val="18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4"/>
      <name val="Arial"/>
      <family val="2"/>
      <charset val="178"/>
      <scheme val="minor"/>
    </font>
    <font>
      <sz val="14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gradientFill degree="270">
        <stop position="0">
          <color theme="0"/>
        </stop>
        <stop position="1">
          <color theme="6" tint="0.80001220740379042"/>
        </stop>
      </gradientFill>
    </fill>
    <fill>
      <patternFill patternType="solid">
        <fgColor rgb="FFFF66CC"/>
        <bgColor indexed="64"/>
      </patternFill>
    </fill>
    <fill>
      <gradientFill degree="90">
        <stop position="0">
          <color theme="0"/>
        </stop>
        <stop position="1">
          <color theme="5" tint="0.80001220740379042"/>
        </stop>
      </gradientFill>
    </fill>
    <fill>
      <gradientFill degree="90">
        <stop position="0">
          <color theme="0"/>
        </stop>
        <stop position="1">
          <color theme="7" tint="0.80001220740379042"/>
        </stop>
      </gradientFill>
    </fill>
    <fill>
      <gradientFill degree="90">
        <stop position="0">
          <color theme="0"/>
        </stop>
        <stop position="1">
          <color theme="9" tint="0.80001220740379042"/>
        </stop>
      </gradient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auto="1"/>
      </patternFill>
    </fill>
    <fill>
      <patternFill patternType="solid">
        <fgColor rgb="FF002060"/>
        <bgColor auto="1"/>
      </patternFill>
    </fill>
    <fill>
      <patternFill patternType="solid">
        <fgColor rgb="FF002060"/>
        <bgColor indexed="64"/>
      </patternFill>
    </fill>
  </fills>
  <borders count="2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4" fillId="0" borderId="0" applyFont="0" applyFill="0" applyBorder="0" applyAlignment="0" applyProtection="0"/>
  </cellStyleXfs>
  <cellXfs count="108">
    <xf numFmtId="0" fontId="0" fillId="0" borderId="0" xfId="0"/>
    <xf numFmtId="0" fontId="1" fillId="0" borderId="0" xfId="0" applyFont="1"/>
    <xf numFmtId="164" fontId="1" fillId="0" borderId="10" xfId="2" applyFont="1" applyBorder="1" applyProtection="1">
      <protection locked="0"/>
    </xf>
    <xf numFmtId="169" fontId="1" fillId="0" borderId="10" xfId="2" applyNumberFormat="1" applyFont="1" applyBorder="1" applyProtection="1">
      <protection locked="0"/>
    </xf>
    <xf numFmtId="167" fontId="1" fillId="0" borderId="10" xfId="0" applyNumberFormat="1" applyFont="1" applyBorder="1" applyProtection="1">
      <protection locked="0"/>
    </xf>
    <xf numFmtId="0" fontId="1" fillId="0" borderId="10" xfId="0" applyFont="1" applyBorder="1" applyProtection="1">
      <protection locked="0"/>
    </xf>
    <xf numFmtId="167" fontId="1" fillId="0" borderId="9" xfId="1" applyFont="1" applyFill="1" applyBorder="1" applyProtection="1">
      <protection locked="0"/>
    </xf>
    <xf numFmtId="167" fontId="1" fillId="0" borderId="0" xfId="0" applyNumberFormat="1" applyFont="1"/>
    <xf numFmtId="167" fontId="1" fillId="0" borderId="10" xfId="1" applyFont="1" applyFill="1" applyBorder="1" applyProtection="1">
      <protection locked="0"/>
    </xf>
    <xf numFmtId="164" fontId="1" fillId="0" borderId="7" xfId="2" applyFont="1" applyBorder="1" applyProtection="1">
      <protection locked="0"/>
    </xf>
    <xf numFmtId="169" fontId="1" fillId="0" borderId="7" xfId="2" applyNumberFormat="1" applyFont="1" applyBorder="1" applyProtection="1">
      <protection locked="0"/>
    </xf>
    <xf numFmtId="167" fontId="1" fillId="0" borderId="7" xfId="0" applyNumberFormat="1" applyFont="1" applyBorder="1" applyProtection="1">
      <protection locked="0"/>
    </xf>
    <xf numFmtId="167" fontId="1" fillId="0" borderId="7" xfId="1" applyFont="1" applyFill="1" applyBorder="1" applyProtection="1">
      <protection locked="0"/>
    </xf>
    <xf numFmtId="169" fontId="1" fillId="0" borderId="1" xfId="2" applyNumberFormat="1" applyFont="1" applyBorder="1"/>
    <xf numFmtId="167" fontId="1" fillId="0" borderId="1" xfId="1" applyFont="1" applyFill="1" applyBorder="1"/>
    <xf numFmtId="167" fontId="1" fillId="0" borderId="10" xfId="2" applyNumberFormat="1" applyFont="1" applyBorder="1" applyProtection="1">
      <protection locked="0"/>
    </xf>
    <xf numFmtId="167" fontId="1" fillId="0" borderId="7" xfId="2" applyNumberFormat="1" applyFont="1" applyBorder="1" applyProtection="1">
      <protection locked="0"/>
    </xf>
    <xf numFmtId="164" fontId="1" fillId="0" borderId="10" xfId="0" applyNumberFormat="1" applyFont="1" applyBorder="1" applyProtection="1">
      <protection locked="0"/>
    </xf>
    <xf numFmtId="164" fontId="1" fillId="0" borderId="7" xfId="0" applyNumberFormat="1" applyFont="1" applyBorder="1" applyProtection="1">
      <protection locked="0"/>
    </xf>
    <xf numFmtId="0" fontId="1" fillId="0" borderId="7" xfId="0" applyFont="1" applyBorder="1" applyProtection="1">
      <protection locked="0"/>
    </xf>
    <xf numFmtId="0" fontId="5" fillId="0" borderId="0" xfId="0" applyFont="1"/>
    <xf numFmtId="167" fontId="5" fillId="0" borderId="0" xfId="0" applyNumberFormat="1" applyFont="1"/>
    <xf numFmtId="14" fontId="5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67" fontId="1" fillId="0" borderId="10" xfId="3" applyFont="1" applyBorder="1" applyProtection="1">
      <protection locked="0"/>
    </xf>
    <xf numFmtId="167" fontId="1" fillId="0" borderId="10" xfId="3" applyFont="1" applyFill="1" applyBorder="1" applyProtection="1">
      <protection locked="0"/>
    </xf>
    <xf numFmtId="167" fontId="1" fillId="0" borderId="10" xfId="0" applyNumberFormat="1" applyFont="1" applyBorder="1" applyAlignment="1" applyProtection="1">
      <alignment horizontal="center" vertical="center"/>
      <protection locked="0"/>
    </xf>
    <xf numFmtId="167" fontId="1" fillId="0" borderId="7" xfId="3" applyFont="1" applyBorder="1" applyProtection="1">
      <protection locked="0"/>
    </xf>
    <xf numFmtId="167" fontId="1" fillId="0" borderId="10" xfId="3" applyFont="1" applyBorder="1" applyAlignment="1" applyProtection="1">
      <alignment horizontal="center"/>
      <protection locked="0"/>
    </xf>
    <xf numFmtId="0" fontId="1" fillId="3" borderId="0" xfId="0" applyFont="1" applyFill="1"/>
    <xf numFmtId="167" fontId="1" fillId="0" borderId="10" xfId="4" applyNumberFormat="1" applyFont="1" applyBorder="1" applyProtection="1">
      <protection locked="0"/>
    </xf>
    <xf numFmtId="167" fontId="1" fillId="0" borderId="7" xfId="4" applyNumberFormat="1" applyFont="1" applyBorder="1" applyProtection="1">
      <protection locked="0"/>
    </xf>
    <xf numFmtId="0" fontId="1" fillId="0" borderId="5" xfId="0" applyFont="1" applyBorder="1"/>
    <xf numFmtId="0" fontId="1" fillId="0" borderId="11" xfId="0" applyFont="1" applyBorder="1"/>
    <xf numFmtId="168" fontId="1" fillId="0" borderId="8" xfId="2" applyNumberFormat="1" applyFont="1" applyBorder="1"/>
    <xf numFmtId="167" fontId="1" fillId="0" borderId="8" xfId="1" applyFont="1" applyFill="1" applyBorder="1"/>
    <xf numFmtId="166" fontId="1" fillId="5" borderId="9" xfId="0" applyNumberFormat="1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168" fontId="1" fillId="5" borderId="10" xfId="1" applyNumberFormat="1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168" fontId="1" fillId="5" borderId="7" xfId="1" applyNumberFormat="1" applyFont="1" applyFill="1" applyBorder="1" applyAlignment="1">
      <alignment horizontal="center"/>
    </xf>
    <xf numFmtId="0" fontId="1" fillId="4" borderId="8" xfId="0" applyFont="1" applyFill="1" applyBorder="1"/>
    <xf numFmtId="0" fontId="1" fillId="4" borderId="8" xfId="0" applyFont="1" applyFill="1" applyBorder="1" applyAlignment="1">
      <alignment horizontal="center"/>
    </xf>
    <xf numFmtId="0" fontId="0" fillId="7" borderId="0" xfId="0" applyFill="1"/>
    <xf numFmtId="168" fontId="1" fillId="6" borderId="8" xfId="2" applyNumberFormat="1" applyFont="1" applyFill="1" applyBorder="1"/>
    <xf numFmtId="0" fontId="0" fillId="0" borderId="0" xfId="0" applyAlignment="1">
      <alignment horizontal="center"/>
    </xf>
    <xf numFmtId="169" fontId="1" fillId="0" borderId="1" xfId="2" applyNumberFormat="1" applyFont="1" applyBorder="1" applyAlignment="1">
      <alignment horizontal="center"/>
    </xf>
    <xf numFmtId="167" fontId="1" fillId="0" borderId="20" xfId="2" applyNumberFormat="1" applyFont="1" applyBorder="1" applyProtection="1">
      <protection locked="0"/>
    </xf>
    <xf numFmtId="167" fontId="1" fillId="0" borderId="20" xfId="0" applyNumberFormat="1" applyFont="1" applyBorder="1" applyProtection="1">
      <protection locked="0"/>
    </xf>
    <xf numFmtId="166" fontId="1" fillId="5" borderId="7" xfId="0" applyNumberFormat="1" applyFont="1" applyFill="1" applyBorder="1" applyAlignment="1">
      <alignment horizontal="center"/>
    </xf>
    <xf numFmtId="169" fontId="1" fillId="0" borderId="10" xfId="2" applyNumberFormat="1" applyFont="1" applyFill="1" applyBorder="1" applyProtection="1">
      <protection locked="0"/>
    </xf>
    <xf numFmtId="169" fontId="1" fillId="0" borderId="7" xfId="2" applyNumberFormat="1" applyFont="1" applyFill="1" applyBorder="1" applyProtection="1">
      <protection locked="0"/>
    </xf>
    <xf numFmtId="169" fontId="1" fillId="0" borderId="1" xfId="2" quotePrefix="1" applyNumberFormat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22" xfId="0" applyFont="1" applyBorder="1"/>
    <xf numFmtId="0" fontId="6" fillId="0" borderId="22" xfId="0" applyFont="1" applyBorder="1" applyAlignment="1">
      <alignment horizontal="right"/>
    </xf>
    <xf numFmtId="0" fontId="6" fillId="0" borderId="22" xfId="0" quotePrefix="1" applyFont="1" applyBorder="1" applyAlignment="1">
      <alignment horizontal="right"/>
    </xf>
    <xf numFmtId="168" fontId="1" fillId="8" borderId="9" xfId="1" applyNumberFormat="1" applyFont="1" applyFill="1" applyBorder="1" applyAlignment="1">
      <alignment horizontal="center"/>
    </xf>
    <xf numFmtId="168" fontId="1" fillId="8" borderId="10" xfId="1" applyNumberFormat="1" applyFont="1" applyFill="1" applyBorder="1" applyAlignment="1">
      <alignment horizontal="center"/>
    </xf>
    <xf numFmtId="168" fontId="1" fillId="8" borderId="7" xfId="1" applyNumberFormat="1" applyFont="1" applyFill="1" applyBorder="1" applyAlignment="1">
      <alignment horizontal="center"/>
    </xf>
    <xf numFmtId="168" fontId="1" fillId="8" borderId="21" xfId="1" applyNumberFormat="1" applyFont="1" applyFill="1" applyBorder="1" applyAlignment="1">
      <alignment horizontal="center"/>
    </xf>
    <xf numFmtId="168" fontId="1" fillId="8" borderId="20" xfId="1" applyNumberFormat="1" applyFont="1" applyFill="1" applyBorder="1" applyAlignment="1">
      <alignment horizontal="center"/>
    </xf>
    <xf numFmtId="168" fontId="1" fillId="5" borderId="1" xfId="1" applyNumberFormat="1" applyFont="1" applyFill="1" applyBorder="1" applyAlignment="1">
      <alignment horizontal="center"/>
    </xf>
    <xf numFmtId="168" fontId="1" fillId="8" borderId="8" xfId="2" applyNumberFormat="1" applyFont="1" applyFill="1" applyBorder="1"/>
    <xf numFmtId="0" fontId="1" fillId="5" borderId="20" xfId="0" applyFont="1" applyFill="1" applyBorder="1" applyAlignment="1">
      <alignment horizontal="center"/>
    </xf>
    <xf numFmtId="0" fontId="0" fillId="0" borderId="0" xfId="0" applyProtection="1">
      <protection locked="0"/>
    </xf>
    <xf numFmtId="168" fontId="1" fillId="8" borderId="8" xfId="1" applyNumberFormat="1" applyFont="1" applyFill="1" applyBorder="1" applyAlignment="1">
      <alignment horizontal="center"/>
    </xf>
    <xf numFmtId="167" fontId="1" fillId="0" borderId="8" xfId="1" applyFont="1" applyFill="1" applyBorder="1" applyProtection="1">
      <protection locked="0"/>
    </xf>
    <xf numFmtId="166" fontId="1" fillId="9" borderId="7" xfId="0" applyNumberFormat="1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168" fontId="1" fillId="9" borderId="7" xfId="1" applyNumberFormat="1" applyFont="1" applyFill="1" applyBorder="1" applyAlignment="1">
      <alignment horizontal="center"/>
    </xf>
    <xf numFmtId="167" fontId="1" fillId="10" borderId="7" xfId="2" applyNumberFormat="1" applyFont="1" applyFill="1" applyBorder="1" applyProtection="1">
      <protection locked="0"/>
    </xf>
    <xf numFmtId="167" fontId="1" fillId="10" borderId="7" xfId="0" applyNumberFormat="1" applyFont="1" applyFill="1" applyBorder="1" applyProtection="1">
      <protection locked="0"/>
    </xf>
    <xf numFmtId="0" fontId="1" fillId="5" borderId="9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166" fontId="1" fillId="6" borderId="18" xfId="0" quotePrefix="1" applyNumberFormat="1" applyFont="1" applyFill="1" applyBorder="1" applyAlignment="1">
      <alignment horizontal="center"/>
    </xf>
    <xf numFmtId="166" fontId="1" fillId="6" borderId="11" xfId="0" applyNumberFormat="1" applyFont="1" applyFill="1" applyBorder="1" applyAlignment="1">
      <alignment horizontal="center"/>
    </xf>
    <xf numFmtId="166" fontId="1" fillId="6" borderId="19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wrapText="1"/>
    </xf>
    <xf numFmtId="0" fontId="1" fillId="4" borderId="8" xfId="0" applyFont="1" applyFill="1" applyBorder="1" applyAlignment="1">
      <alignment horizontal="center" wrapText="1"/>
    </xf>
    <xf numFmtId="166" fontId="1" fillId="2" borderId="4" xfId="0" applyNumberFormat="1" applyFont="1" applyFill="1" applyBorder="1" applyAlignment="1">
      <alignment horizontal="center"/>
    </xf>
    <xf numFmtId="166" fontId="1" fillId="2" borderId="5" xfId="0" applyNumberFormat="1" applyFont="1" applyFill="1" applyBorder="1" applyAlignment="1">
      <alignment horizontal="center"/>
    </xf>
    <xf numFmtId="166" fontId="1" fillId="2" borderId="6" xfId="0" applyNumberFormat="1" applyFont="1" applyFill="1" applyBorder="1" applyAlignment="1">
      <alignment horizontal="center"/>
    </xf>
    <xf numFmtId="0" fontId="2" fillId="6" borderId="12" xfId="0" quotePrefix="1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166" fontId="1" fillId="0" borderId="11" xfId="0" applyNumberFormat="1" applyFont="1" applyBorder="1" applyAlignment="1">
      <alignment horizontal="center"/>
    </xf>
    <xf numFmtId="165" fontId="1" fillId="4" borderId="2" xfId="0" applyNumberFormat="1" applyFont="1" applyFill="1" applyBorder="1" applyAlignment="1">
      <alignment horizontal="center"/>
    </xf>
    <xf numFmtId="165" fontId="1" fillId="4" borderId="7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49" fontId="1" fillId="4" borderId="3" xfId="0" applyNumberFormat="1" applyFont="1" applyFill="1" applyBorder="1" applyAlignment="1">
      <alignment horizontal="center" wrapText="1" shrinkToFit="1"/>
    </xf>
    <xf numFmtId="49" fontId="1" fillId="4" borderId="8" xfId="0" applyNumberFormat="1" applyFont="1" applyFill="1" applyBorder="1" applyAlignment="1">
      <alignment horizontal="center" wrapText="1" shrinkToFit="1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2" fillId="6" borderId="1" xfId="0" quotePrefix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right"/>
    </xf>
  </cellXfs>
  <cellStyles count="6">
    <cellStyle name="Comma 2 2 2" xfId="1" xr:uid="{00000000-0005-0000-0000-000000000000}"/>
    <cellStyle name="Comma 2 2 2 5" xfId="5" xr:uid="{00000000-0005-0000-0000-000001000000}"/>
    <cellStyle name="Comma 5 2" xfId="2" xr:uid="{00000000-0005-0000-0000-000002000000}"/>
    <cellStyle name="Comma 5 2 3" xfId="3" xr:uid="{00000000-0005-0000-0000-000003000000}"/>
    <cellStyle name="Comma 5 2 8" xfId="4" xr:uid="{00000000-0005-0000-0000-000004000000}"/>
    <cellStyle name="عادي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35"/>
  <sheetViews>
    <sheetView rightToLeft="1" tabSelected="1" topLeftCell="D300" zoomScale="70" zoomScaleNormal="70" workbookViewId="0">
      <selection activeCell="K311" sqref="K311"/>
    </sheetView>
  </sheetViews>
  <sheetFormatPr defaultColWidth="8.875" defaultRowHeight="14.25" x14ac:dyDescent="0.2"/>
  <cols>
    <col min="1" max="1" width="23.375" bestFit="1" customWidth="1"/>
    <col min="2" max="2" width="11" bestFit="1" customWidth="1"/>
    <col min="3" max="3" width="22.25" bestFit="1" customWidth="1"/>
    <col min="4" max="4" width="20.125" bestFit="1" customWidth="1"/>
    <col min="5" max="5" width="16.25" bestFit="1" customWidth="1"/>
    <col min="6" max="6" width="14.875" bestFit="1" customWidth="1"/>
    <col min="7" max="7" width="13" bestFit="1" customWidth="1"/>
    <col min="8" max="9" width="18.125" bestFit="1" customWidth="1"/>
    <col min="10" max="10" width="20.75" bestFit="1" customWidth="1"/>
    <col min="11" max="11" width="26.875" bestFit="1" customWidth="1"/>
    <col min="12" max="12" width="18.25" customWidth="1"/>
    <col min="13" max="13" width="16.25" bestFit="1" customWidth="1"/>
    <col min="14" max="14" width="14.625" customWidth="1"/>
    <col min="15" max="15" width="18.75" bestFit="1" customWidth="1"/>
    <col min="16" max="16" width="26.875" bestFit="1" customWidth="1"/>
    <col min="17" max="17" width="22.375" bestFit="1" customWidth="1"/>
    <col min="18" max="18" width="22.375" customWidth="1"/>
    <col min="19" max="19" width="32.875" customWidth="1"/>
  </cols>
  <sheetData>
    <row r="1" spans="1:53" ht="18.75" thickBot="1" x14ac:dyDescent="0.3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ht="27" thickTop="1" thickBot="1" x14ac:dyDescent="0.4">
      <c r="A2" s="103" t="s">
        <v>49</v>
      </c>
      <c r="B2" s="104"/>
      <c r="C2" s="104"/>
      <c r="D2" s="105"/>
      <c r="E2" s="10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ht="19.5" thickTop="1" thickBot="1" x14ac:dyDescent="0.3"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19.5" thickTop="1" thickBot="1" x14ac:dyDescent="0.3">
      <c r="A4" s="94" t="s">
        <v>0</v>
      </c>
      <c r="B4" s="96" t="s">
        <v>1</v>
      </c>
      <c r="C4" s="98" t="s">
        <v>2</v>
      </c>
      <c r="D4" s="80" t="s">
        <v>3</v>
      </c>
      <c r="E4" s="100" t="s">
        <v>4</v>
      </c>
      <c r="F4" s="101"/>
      <c r="G4" s="101"/>
      <c r="H4" s="101"/>
      <c r="I4" s="101"/>
      <c r="J4" s="101"/>
      <c r="K4" s="102"/>
      <c r="L4" s="80" t="s">
        <v>5</v>
      </c>
      <c r="M4" s="80" t="s">
        <v>6</v>
      </c>
      <c r="N4" s="80" t="s">
        <v>7</v>
      </c>
      <c r="O4" s="80" t="s">
        <v>8</v>
      </c>
      <c r="P4" s="80" t="s">
        <v>9</v>
      </c>
      <c r="Q4" s="82" t="s">
        <v>10</v>
      </c>
      <c r="R4" s="82" t="s">
        <v>34</v>
      </c>
      <c r="S4" s="82" t="s">
        <v>11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19.5" thickTop="1" thickBot="1" x14ac:dyDescent="0.3">
      <c r="A5" s="95"/>
      <c r="B5" s="97"/>
      <c r="C5" s="99"/>
      <c r="D5" s="81"/>
      <c r="E5" s="41" t="s">
        <v>12</v>
      </c>
      <c r="F5" s="42" t="s">
        <v>13</v>
      </c>
      <c r="G5" s="41" t="s">
        <v>14</v>
      </c>
      <c r="H5" s="41" t="s">
        <v>15</v>
      </c>
      <c r="I5" s="41" t="s">
        <v>45</v>
      </c>
      <c r="J5" s="42" t="s">
        <v>44</v>
      </c>
      <c r="K5" s="42" t="s">
        <v>46</v>
      </c>
      <c r="L5" s="81"/>
      <c r="M5" s="81"/>
      <c r="N5" s="81"/>
      <c r="O5" s="81"/>
      <c r="P5" s="81"/>
      <c r="Q5" s="83"/>
      <c r="R5" s="83"/>
      <c r="S5" s="83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8.75" thickTop="1" x14ac:dyDescent="0.25">
      <c r="A6" s="36">
        <v>46023</v>
      </c>
      <c r="B6" s="37" t="s">
        <v>19</v>
      </c>
      <c r="C6" s="38">
        <v>0</v>
      </c>
      <c r="D6" s="2">
        <v>1442.4</v>
      </c>
      <c r="E6" s="2">
        <v>5984</v>
      </c>
      <c r="F6" s="2"/>
      <c r="G6" s="3">
        <v>388</v>
      </c>
      <c r="H6" s="3"/>
      <c r="I6" s="50"/>
      <c r="J6" s="50">
        <v>498</v>
      </c>
      <c r="K6" s="50"/>
      <c r="L6" s="38">
        <f>SUM(D6:K6)</f>
        <v>8312.4</v>
      </c>
      <c r="M6" s="4"/>
      <c r="N6" s="38">
        <f>SUM(E6+F6+G6+H6)</f>
        <v>6372</v>
      </c>
      <c r="O6" s="38">
        <f>I6+K6+J6</f>
        <v>498</v>
      </c>
      <c r="P6" s="5"/>
      <c r="Q6" s="38">
        <f>C6+L6+-M6-N6-O6-P6</f>
        <v>1442.3999999999996</v>
      </c>
      <c r="R6" s="58"/>
      <c r="S6" s="6"/>
      <c r="U6" s="7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8" x14ac:dyDescent="0.25">
      <c r="A7" s="36">
        <f>A6+1</f>
        <v>46024</v>
      </c>
      <c r="B7" s="37" t="s">
        <v>20</v>
      </c>
      <c r="C7" s="38">
        <f>Q6</f>
        <v>1442.3999999999996</v>
      </c>
      <c r="D7" s="2">
        <v>15</v>
      </c>
      <c r="E7" s="2">
        <v>3962</v>
      </c>
      <c r="F7" s="2">
        <v>983</v>
      </c>
      <c r="G7" s="2"/>
      <c r="H7" s="3"/>
      <c r="I7" s="50"/>
      <c r="J7" s="50"/>
      <c r="K7" s="50"/>
      <c r="L7" s="38">
        <f t="shared" ref="L7:L36" si="0">SUM(D7:K7)</f>
        <v>4960</v>
      </c>
      <c r="M7" s="4"/>
      <c r="N7" s="38">
        <f t="shared" ref="N7:N36" si="1">SUM(E7+F7+G7+H7)</f>
        <v>4945</v>
      </c>
      <c r="O7" s="38">
        <f t="shared" ref="O7:O36" si="2">I7+K7+J7</f>
        <v>0</v>
      </c>
      <c r="P7" s="5"/>
      <c r="Q7" s="38">
        <f>C7+L7+-M7-N7-O7-P7</f>
        <v>1457.3999999999996</v>
      </c>
      <c r="R7" s="58"/>
      <c r="S7" s="6"/>
      <c r="U7" s="7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8" x14ac:dyDescent="0.25">
      <c r="A8" s="36">
        <f t="shared" ref="A8:A36" si="3">A7+1</f>
        <v>46025</v>
      </c>
      <c r="B8" s="37" t="s">
        <v>21</v>
      </c>
      <c r="C8" s="38">
        <f t="shared" ref="C8:C36" si="4">Q7</f>
        <v>1457.3999999999996</v>
      </c>
      <c r="D8" s="2">
        <v>658.2</v>
      </c>
      <c r="E8" s="2">
        <v>6028</v>
      </c>
      <c r="F8" s="2">
        <v>695</v>
      </c>
      <c r="G8" s="2">
        <v>609</v>
      </c>
      <c r="H8" s="3"/>
      <c r="I8" s="50"/>
      <c r="J8" s="50"/>
      <c r="K8" s="50"/>
      <c r="L8" s="38">
        <f t="shared" si="0"/>
        <v>7990.2</v>
      </c>
      <c r="M8" s="4"/>
      <c r="N8" s="38">
        <f t="shared" si="1"/>
        <v>7332</v>
      </c>
      <c r="O8" s="38">
        <f t="shared" si="2"/>
        <v>0</v>
      </c>
      <c r="P8" s="5"/>
      <c r="Q8" s="38">
        <f t="shared" ref="Q8:Q36" si="5">C8+L8+-M8-N8-O8-P8</f>
        <v>2115.5999999999985</v>
      </c>
      <c r="R8" s="58"/>
      <c r="S8" s="6"/>
      <c r="U8" s="7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" x14ac:dyDescent="0.25">
      <c r="A9" s="36">
        <f t="shared" si="3"/>
        <v>46026</v>
      </c>
      <c r="B9" s="37" t="s">
        <v>22</v>
      </c>
      <c r="C9" s="38">
        <f t="shared" si="4"/>
        <v>2115.5999999999985</v>
      </c>
      <c r="D9" s="2">
        <v>587</v>
      </c>
      <c r="E9" s="2">
        <v>2381.1999999999998</v>
      </c>
      <c r="F9" s="2">
        <v>99</v>
      </c>
      <c r="G9" s="2"/>
      <c r="H9" s="3"/>
      <c r="I9" s="50"/>
      <c r="J9" s="50"/>
      <c r="K9" s="50"/>
      <c r="L9" s="38">
        <f t="shared" si="0"/>
        <v>3067.2</v>
      </c>
      <c r="M9" s="4"/>
      <c r="N9" s="38">
        <f t="shared" si="1"/>
        <v>2480.1999999999998</v>
      </c>
      <c r="O9" s="38">
        <f t="shared" si="2"/>
        <v>0</v>
      </c>
      <c r="P9" s="5"/>
      <c r="Q9" s="38">
        <f t="shared" si="5"/>
        <v>2702.5999999999985</v>
      </c>
      <c r="R9" s="58"/>
      <c r="S9" s="6"/>
      <c r="U9" s="7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" x14ac:dyDescent="0.25">
      <c r="A10" s="36">
        <f t="shared" si="3"/>
        <v>46027</v>
      </c>
      <c r="B10" s="37" t="s">
        <v>16</v>
      </c>
      <c r="C10" s="38">
        <f t="shared" si="4"/>
        <v>2702.5999999999985</v>
      </c>
      <c r="D10" s="2">
        <v>-51</v>
      </c>
      <c r="E10" s="2">
        <v>2335</v>
      </c>
      <c r="F10" s="2">
        <v>597</v>
      </c>
      <c r="G10" s="2"/>
      <c r="H10" s="3"/>
      <c r="I10" s="50"/>
      <c r="J10" s="50"/>
      <c r="K10" s="50"/>
      <c r="L10" s="38">
        <f>SUM(D10:K10)</f>
        <v>2881</v>
      </c>
      <c r="M10" s="4"/>
      <c r="N10" s="38">
        <f t="shared" si="1"/>
        <v>2932</v>
      </c>
      <c r="O10" s="38">
        <f t="shared" si="2"/>
        <v>0</v>
      </c>
      <c r="P10" s="5"/>
      <c r="Q10" s="38">
        <f t="shared" si="5"/>
        <v>2651.5999999999985</v>
      </c>
      <c r="R10" s="58"/>
      <c r="S10" s="6"/>
      <c r="U10" s="7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ht="18" x14ac:dyDescent="0.25">
      <c r="A11" s="36">
        <f t="shared" si="3"/>
        <v>46028</v>
      </c>
      <c r="B11" s="37" t="s">
        <v>17</v>
      </c>
      <c r="C11" s="38">
        <f t="shared" si="4"/>
        <v>2651.5999999999985</v>
      </c>
      <c r="D11" s="2">
        <v>449</v>
      </c>
      <c r="E11" s="2">
        <v>3338</v>
      </c>
      <c r="F11" s="2">
        <v>199</v>
      </c>
      <c r="G11" s="2"/>
      <c r="H11" s="3"/>
      <c r="I11" s="50"/>
      <c r="J11" s="50"/>
      <c r="K11" s="50"/>
      <c r="L11" s="38">
        <f t="shared" si="0"/>
        <v>3986</v>
      </c>
      <c r="M11" s="4"/>
      <c r="N11" s="38">
        <f>SUM(E11+F11+G11+H11)</f>
        <v>3537</v>
      </c>
      <c r="O11" s="38">
        <f t="shared" si="2"/>
        <v>0</v>
      </c>
      <c r="P11" s="5"/>
      <c r="Q11" s="38">
        <f t="shared" si="5"/>
        <v>3100.5999999999985</v>
      </c>
      <c r="R11" s="58"/>
      <c r="S11" s="6"/>
      <c r="U11" s="7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" x14ac:dyDescent="0.25">
      <c r="A12" s="36">
        <f t="shared" si="3"/>
        <v>46029</v>
      </c>
      <c r="B12" s="37" t="s">
        <v>18</v>
      </c>
      <c r="C12" s="38">
        <f t="shared" si="4"/>
        <v>3100.5999999999985</v>
      </c>
      <c r="D12" s="2">
        <v>1143</v>
      </c>
      <c r="E12" s="2">
        <v>3882</v>
      </c>
      <c r="F12" s="2">
        <v>1238</v>
      </c>
      <c r="G12" s="2">
        <v>139</v>
      </c>
      <c r="H12" s="3"/>
      <c r="I12" s="50"/>
      <c r="J12" s="50">
        <v>406</v>
      </c>
      <c r="K12" s="50"/>
      <c r="L12" s="38">
        <f t="shared" si="0"/>
        <v>6808</v>
      </c>
      <c r="M12" s="4"/>
      <c r="N12" s="38">
        <f t="shared" si="1"/>
        <v>5259</v>
      </c>
      <c r="O12" s="38">
        <f t="shared" si="2"/>
        <v>406</v>
      </c>
      <c r="P12" s="5"/>
      <c r="Q12" s="38">
        <f t="shared" si="5"/>
        <v>4243.5999999999985</v>
      </c>
      <c r="R12" s="58"/>
      <c r="S12" s="6"/>
      <c r="U12" s="7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ht="18" x14ac:dyDescent="0.25">
      <c r="A13" s="36">
        <f t="shared" si="3"/>
        <v>46030</v>
      </c>
      <c r="B13" s="37" t="s">
        <v>19</v>
      </c>
      <c r="C13" s="38">
        <f t="shared" si="4"/>
        <v>4243.5999999999985</v>
      </c>
      <c r="D13" s="2">
        <v>1362</v>
      </c>
      <c r="E13" s="2">
        <v>4405</v>
      </c>
      <c r="F13" s="2">
        <v>739</v>
      </c>
      <c r="G13" s="2"/>
      <c r="H13" s="3"/>
      <c r="I13" s="50"/>
      <c r="J13" s="50"/>
      <c r="K13" s="50"/>
      <c r="L13" s="38">
        <f t="shared" si="0"/>
        <v>6506</v>
      </c>
      <c r="M13" s="4"/>
      <c r="N13" s="38">
        <f t="shared" si="1"/>
        <v>5144</v>
      </c>
      <c r="O13" s="38">
        <f t="shared" si="2"/>
        <v>0</v>
      </c>
      <c r="P13" s="5"/>
      <c r="Q13" s="38">
        <f t="shared" si="5"/>
        <v>5605.5999999999985</v>
      </c>
      <c r="R13" s="58"/>
      <c r="S13" s="6"/>
      <c r="U13" s="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8" x14ac:dyDescent="0.25">
      <c r="A14" s="36">
        <f t="shared" si="3"/>
        <v>46031</v>
      </c>
      <c r="B14" s="37" t="s">
        <v>20</v>
      </c>
      <c r="C14" s="38">
        <f t="shared" si="4"/>
        <v>5605.5999999999985</v>
      </c>
      <c r="D14" s="2">
        <v>2499</v>
      </c>
      <c r="E14" s="2">
        <v>5367</v>
      </c>
      <c r="F14" s="2">
        <v>816</v>
      </c>
      <c r="G14" s="2"/>
      <c r="H14" s="3"/>
      <c r="I14" s="50"/>
      <c r="J14" s="50">
        <v>266</v>
      </c>
      <c r="K14" s="50"/>
      <c r="L14" s="38">
        <f t="shared" si="0"/>
        <v>8948</v>
      </c>
      <c r="M14" s="4"/>
      <c r="N14" s="38">
        <f t="shared" si="1"/>
        <v>6183</v>
      </c>
      <c r="O14" s="38">
        <f t="shared" si="2"/>
        <v>266</v>
      </c>
      <c r="P14" s="5"/>
      <c r="Q14" s="38">
        <f t="shared" si="5"/>
        <v>8104.5999999999985</v>
      </c>
      <c r="R14" s="58"/>
      <c r="S14" s="6" t="s">
        <v>62</v>
      </c>
      <c r="U14" s="7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8" x14ac:dyDescent="0.25">
      <c r="A15" s="36">
        <f t="shared" si="3"/>
        <v>46032</v>
      </c>
      <c r="B15" s="37" t="s">
        <v>21</v>
      </c>
      <c r="C15" s="38">
        <f t="shared" si="4"/>
        <v>8104.5999999999985</v>
      </c>
      <c r="D15" s="2">
        <v>715</v>
      </c>
      <c r="E15" s="2">
        <v>5558</v>
      </c>
      <c r="F15" s="2">
        <v>1567</v>
      </c>
      <c r="G15" s="2">
        <v>119</v>
      </c>
      <c r="H15" s="2"/>
      <c r="I15" s="50"/>
      <c r="J15" s="50"/>
      <c r="K15" s="50"/>
      <c r="L15" s="38">
        <f t="shared" si="0"/>
        <v>7959</v>
      </c>
      <c r="M15" s="4">
        <v>6400</v>
      </c>
      <c r="N15" s="38">
        <f t="shared" si="1"/>
        <v>7244</v>
      </c>
      <c r="O15" s="38">
        <f t="shared" si="2"/>
        <v>0</v>
      </c>
      <c r="P15" s="4"/>
      <c r="Q15" s="38">
        <f t="shared" si="5"/>
        <v>2419.5999999999985</v>
      </c>
      <c r="R15" s="58"/>
      <c r="S15" s="6"/>
      <c r="U15" s="7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18" x14ac:dyDescent="0.25">
      <c r="A16" s="36">
        <f t="shared" si="3"/>
        <v>46033</v>
      </c>
      <c r="B16" s="37" t="s">
        <v>22</v>
      </c>
      <c r="C16" s="38">
        <f t="shared" si="4"/>
        <v>2419.5999999999985</v>
      </c>
      <c r="D16" s="2">
        <v>622</v>
      </c>
      <c r="E16" s="2">
        <v>4264.2</v>
      </c>
      <c r="F16" s="2">
        <v>861</v>
      </c>
      <c r="G16" s="2">
        <v>513</v>
      </c>
      <c r="H16" s="2"/>
      <c r="I16" s="50"/>
      <c r="J16" s="50"/>
      <c r="K16" s="50"/>
      <c r="L16" s="38">
        <f t="shared" si="0"/>
        <v>6260.2</v>
      </c>
      <c r="M16" s="4"/>
      <c r="N16" s="38">
        <f t="shared" si="1"/>
        <v>5638.2</v>
      </c>
      <c r="O16" s="38">
        <f t="shared" si="2"/>
        <v>0</v>
      </c>
      <c r="P16" s="4"/>
      <c r="Q16" s="38">
        <f t="shared" si="5"/>
        <v>3041.5999999999995</v>
      </c>
      <c r="R16" s="58"/>
      <c r="S16" s="6"/>
      <c r="U16" s="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18" x14ac:dyDescent="0.25">
      <c r="A17" s="36">
        <f t="shared" si="3"/>
        <v>46034</v>
      </c>
      <c r="B17" s="37" t="s">
        <v>16</v>
      </c>
      <c r="C17" s="38">
        <f t="shared" si="4"/>
        <v>3041.5999999999995</v>
      </c>
      <c r="D17" s="2">
        <v>1396</v>
      </c>
      <c r="E17" s="2">
        <v>8722</v>
      </c>
      <c r="F17" s="2">
        <v>656</v>
      </c>
      <c r="G17" s="2"/>
      <c r="H17" s="2"/>
      <c r="I17" s="50"/>
      <c r="J17" s="50"/>
      <c r="K17" s="50"/>
      <c r="L17" s="38">
        <f t="shared" si="0"/>
        <v>10774</v>
      </c>
      <c r="M17" s="4"/>
      <c r="N17" s="38">
        <f t="shared" si="1"/>
        <v>9378</v>
      </c>
      <c r="O17" s="38">
        <f t="shared" si="2"/>
        <v>0</v>
      </c>
      <c r="P17" s="4"/>
      <c r="Q17" s="38">
        <f t="shared" si="5"/>
        <v>4437.5999999999985</v>
      </c>
      <c r="R17" s="58"/>
      <c r="S17" s="6"/>
      <c r="U17" s="7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8" x14ac:dyDescent="0.25">
      <c r="A18" s="36">
        <f t="shared" si="3"/>
        <v>46035</v>
      </c>
      <c r="B18" s="37" t="s">
        <v>17</v>
      </c>
      <c r="C18" s="38">
        <f t="shared" si="4"/>
        <v>4437.5999999999985</v>
      </c>
      <c r="D18" s="2">
        <v>1084.2</v>
      </c>
      <c r="E18" s="2">
        <v>4524</v>
      </c>
      <c r="F18" s="2">
        <v>353</v>
      </c>
      <c r="G18" s="2"/>
      <c r="H18" s="2"/>
      <c r="I18" s="50"/>
      <c r="J18" s="50">
        <v>199</v>
      </c>
      <c r="K18" s="50"/>
      <c r="L18" s="38">
        <f t="shared" si="0"/>
        <v>6160.2</v>
      </c>
      <c r="M18" s="4"/>
      <c r="N18" s="38">
        <f t="shared" si="1"/>
        <v>4877</v>
      </c>
      <c r="O18" s="38">
        <f t="shared" si="2"/>
        <v>199</v>
      </c>
      <c r="P18" s="4"/>
      <c r="Q18" s="38">
        <f t="shared" si="5"/>
        <v>5521.7999999999993</v>
      </c>
      <c r="R18" s="58"/>
      <c r="S18" s="6"/>
      <c r="U18" s="7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8" x14ac:dyDescent="0.25">
      <c r="A19" s="36">
        <f t="shared" si="3"/>
        <v>46036</v>
      </c>
      <c r="B19" s="37" t="s">
        <v>18</v>
      </c>
      <c r="C19" s="38">
        <f t="shared" si="4"/>
        <v>5521.7999999999993</v>
      </c>
      <c r="D19" s="2">
        <v>763.2</v>
      </c>
      <c r="E19" s="2">
        <v>2404</v>
      </c>
      <c r="F19" s="2">
        <v>207</v>
      </c>
      <c r="G19" s="2"/>
      <c r="H19" s="2"/>
      <c r="I19" s="50"/>
      <c r="J19" s="50">
        <v>1453</v>
      </c>
      <c r="K19" s="50"/>
      <c r="L19" s="38">
        <f t="shared" si="0"/>
        <v>4827.2</v>
      </c>
      <c r="M19" s="4"/>
      <c r="N19" s="38">
        <f t="shared" si="1"/>
        <v>2611</v>
      </c>
      <c r="O19" s="38">
        <f t="shared" si="2"/>
        <v>1453</v>
      </c>
      <c r="P19" s="4"/>
      <c r="Q19" s="38">
        <f t="shared" si="5"/>
        <v>6285</v>
      </c>
      <c r="R19" s="58"/>
      <c r="S19" s="6"/>
      <c r="U19" s="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8" x14ac:dyDescent="0.25">
      <c r="A20" s="36">
        <f t="shared" si="3"/>
        <v>46037</v>
      </c>
      <c r="B20" s="37" t="s">
        <v>19</v>
      </c>
      <c r="C20" s="38">
        <f t="shared" si="4"/>
        <v>6285</v>
      </c>
      <c r="D20" s="2">
        <v>1352</v>
      </c>
      <c r="E20" s="2">
        <v>5511.2</v>
      </c>
      <c r="F20" s="2"/>
      <c r="G20" s="2">
        <v>665</v>
      </c>
      <c r="H20" s="2"/>
      <c r="I20" s="50"/>
      <c r="J20" s="50"/>
      <c r="K20" s="50"/>
      <c r="L20" s="38">
        <f t="shared" si="0"/>
        <v>7528.2</v>
      </c>
      <c r="M20" s="4">
        <v>4650</v>
      </c>
      <c r="N20" s="38">
        <f t="shared" si="1"/>
        <v>6176.2</v>
      </c>
      <c r="O20" s="38">
        <f t="shared" si="2"/>
        <v>0</v>
      </c>
      <c r="P20" s="4"/>
      <c r="Q20" s="38">
        <f t="shared" si="5"/>
        <v>2987.0000000000009</v>
      </c>
      <c r="R20" s="58"/>
      <c r="S20" s="6" t="s">
        <v>63</v>
      </c>
      <c r="U20" s="7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8" x14ac:dyDescent="0.25">
      <c r="A21" s="36">
        <f t="shared" si="3"/>
        <v>46038</v>
      </c>
      <c r="B21" s="37" t="s">
        <v>20</v>
      </c>
      <c r="C21" s="38">
        <f t="shared" si="4"/>
        <v>2987.0000000000009</v>
      </c>
      <c r="D21" s="2">
        <v>677</v>
      </c>
      <c r="E21" s="2">
        <v>4883</v>
      </c>
      <c r="F21" s="2"/>
      <c r="G21" s="2"/>
      <c r="H21" s="2"/>
      <c r="I21" s="50"/>
      <c r="J21" s="50"/>
      <c r="K21" s="50"/>
      <c r="L21" s="38">
        <f t="shared" si="0"/>
        <v>5560</v>
      </c>
      <c r="M21" s="4"/>
      <c r="N21" s="38">
        <f t="shared" si="1"/>
        <v>4883</v>
      </c>
      <c r="O21" s="38">
        <f t="shared" si="2"/>
        <v>0</v>
      </c>
      <c r="P21" s="4"/>
      <c r="Q21" s="38">
        <f t="shared" si="5"/>
        <v>3664</v>
      </c>
      <c r="R21" s="58"/>
      <c r="S21" s="6"/>
      <c r="U21" s="7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8" x14ac:dyDescent="0.25">
      <c r="A22" s="36">
        <f t="shared" si="3"/>
        <v>46039</v>
      </c>
      <c r="B22" s="37" t="s">
        <v>21</v>
      </c>
      <c r="C22" s="38">
        <f t="shared" si="4"/>
        <v>3664</v>
      </c>
      <c r="D22" s="2">
        <v>510</v>
      </c>
      <c r="E22" s="2">
        <v>4457</v>
      </c>
      <c r="F22" s="2">
        <v>338</v>
      </c>
      <c r="G22" s="2">
        <v>398</v>
      </c>
      <c r="H22" s="2">
        <v>22</v>
      </c>
      <c r="I22" s="50"/>
      <c r="J22" s="50">
        <v>844</v>
      </c>
      <c r="K22" s="50"/>
      <c r="L22" s="38">
        <f t="shared" si="0"/>
        <v>6569</v>
      </c>
      <c r="M22" s="4"/>
      <c r="N22" s="38">
        <f t="shared" si="1"/>
        <v>5215</v>
      </c>
      <c r="O22" s="38">
        <f t="shared" si="2"/>
        <v>844</v>
      </c>
      <c r="P22" s="4"/>
      <c r="Q22" s="38">
        <f t="shared" si="5"/>
        <v>4174</v>
      </c>
      <c r="R22" s="58"/>
      <c r="S22" s="6"/>
      <c r="U22" s="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8" x14ac:dyDescent="0.25">
      <c r="A23" s="36">
        <f t="shared" si="3"/>
        <v>46040</v>
      </c>
      <c r="B23" s="37" t="s">
        <v>23</v>
      </c>
      <c r="C23" s="38">
        <f t="shared" si="4"/>
        <v>4174</v>
      </c>
      <c r="D23" s="2">
        <v>527</v>
      </c>
      <c r="E23" s="2">
        <v>2725</v>
      </c>
      <c r="F23" s="2">
        <v>636</v>
      </c>
      <c r="G23" s="2">
        <v>78</v>
      </c>
      <c r="H23" s="2"/>
      <c r="I23" s="50"/>
      <c r="J23" s="50">
        <v>199</v>
      </c>
      <c r="K23" s="50"/>
      <c r="L23" s="38">
        <f t="shared" si="0"/>
        <v>4165</v>
      </c>
      <c r="M23" s="4"/>
      <c r="N23" s="38">
        <f t="shared" si="1"/>
        <v>3439</v>
      </c>
      <c r="O23" s="38">
        <f t="shared" si="2"/>
        <v>199</v>
      </c>
      <c r="P23" s="4"/>
      <c r="Q23" s="38">
        <f t="shared" si="5"/>
        <v>4701</v>
      </c>
      <c r="R23" s="58"/>
      <c r="S23" s="6"/>
      <c r="U23" s="7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8" x14ac:dyDescent="0.25">
      <c r="A24" s="36">
        <f t="shared" si="3"/>
        <v>46041</v>
      </c>
      <c r="B24" s="37" t="s">
        <v>24</v>
      </c>
      <c r="C24" s="38">
        <f t="shared" si="4"/>
        <v>4701</v>
      </c>
      <c r="D24" s="2">
        <v>1413</v>
      </c>
      <c r="E24" s="2">
        <v>2066</v>
      </c>
      <c r="F24" s="2"/>
      <c r="G24" s="2"/>
      <c r="H24" s="2"/>
      <c r="I24" s="50"/>
      <c r="J24" s="50">
        <v>259</v>
      </c>
      <c r="K24" s="50"/>
      <c r="L24" s="38">
        <f t="shared" si="0"/>
        <v>3738</v>
      </c>
      <c r="M24" s="4"/>
      <c r="N24" s="38">
        <f t="shared" si="1"/>
        <v>2066</v>
      </c>
      <c r="O24" s="38">
        <f t="shared" si="2"/>
        <v>259</v>
      </c>
      <c r="P24" s="4"/>
      <c r="Q24" s="38">
        <f t="shared" si="5"/>
        <v>6114</v>
      </c>
      <c r="R24" s="58"/>
      <c r="S24" s="6"/>
      <c r="U24" s="7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8" x14ac:dyDescent="0.25">
      <c r="A25" s="36">
        <f t="shared" si="3"/>
        <v>46042</v>
      </c>
      <c r="B25" s="37" t="s">
        <v>17</v>
      </c>
      <c r="C25" s="38">
        <f t="shared" si="4"/>
        <v>6114</v>
      </c>
      <c r="D25" s="2">
        <v>871</v>
      </c>
      <c r="E25" s="2">
        <v>2096</v>
      </c>
      <c r="F25" s="2">
        <v>217</v>
      </c>
      <c r="G25" s="2"/>
      <c r="H25" s="2"/>
      <c r="I25" s="50"/>
      <c r="J25" s="50"/>
      <c r="K25" s="50"/>
      <c r="L25" s="38">
        <f t="shared" si="0"/>
        <v>3184</v>
      </c>
      <c r="M25" s="4"/>
      <c r="N25" s="38">
        <f t="shared" si="1"/>
        <v>2313</v>
      </c>
      <c r="O25" s="38">
        <f t="shared" si="2"/>
        <v>0</v>
      </c>
      <c r="P25" s="4"/>
      <c r="Q25" s="38">
        <f t="shared" si="5"/>
        <v>6985</v>
      </c>
      <c r="R25" s="58"/>
      <c r="S25" s="6"/>
      <c r="U25" s="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8" x14ac:dyDescent="0.25">
      <c r="A26" s="36">
        <f t="shared" si="3"/>
        <v>46043</v>
      </c>
      <c r="B26" s="37" t="s">
        <v>25</v>
      </c>
      <c r="C26" s="38">
        <f t="shared" si="4"/>
        <v>6985</v>
      </c>
      <c r="D26" s="2">
        <v>1592</v>
      </c>
      <c r="E26" s="2">
        <v>560</v>
      </c>
      <c r="F26" s="2">
        <v>346</v>
      </c>
      <c r="G26" s="2"/>
      <c r="H26" s="2"/>
      <c r="I26" s="50"/>
      <c r="J26" s="50"/>
      <c r="K26" s="50"/>
      <c r="L26" s="38">
        <f t="shared" si="0"/>
        <v>2498</v>
      </c>
      <c r="M26" s="4"/>
      <c r="N26" s="38">
        <f t="shared" si="1"/>
        <v>906</v>
      </c>
      <c r="O26" s="38">
        <f t="shared" si="2"/>
        <v>0</v>
      </c>
      <c r="P26" s="4"/>
      <c r="Q26" s="38">
        <f t="shared" si="5"/>
        <v>8577</v>
      </c>
      <c r="R26" s="58"/>
      <c r="S26" s="6"/>
      <c r="U26" s="7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8" x14ac:dyDescent="0.25">
      <c r="A27" s="36">
        <f t="shared" si="3"/>
        <v>46044</v>
      </c>
      <c r="B27" s="37" t="s">
        <v>19</v>
      </c>
      <c r="C27" s="38">
        <f t="shared" si="4"/>
        <v>8577</v>
      </c>
      <c r="D27" s="2">
        <v>694</v>
      </c>
      <c r="E27" s="2">
        <v>2883</v>
      </c>
      <c r="F27" s="2">
        <v>343</v>
      </c>
      <c r="G27" s="2"/>
      <c r="H27" s="2"/>
      <c r="I27" s="50"/>
      <c r="J27" s="50"/>
      <c r="K27" s="50"/>
      <c r="L27" s="38">
        <f t="shared" si="0"/>
        <v>3920</v>
      </c>
      <c r="M27" s="4">
        <v>6000</v>
      </c>
      <c r="N27" s="38">
        <f t="shared" si="1"/>
        <v>3226</v>
      </c>
      <c r="O27" s="38">
        <f t="shared" si="2"/>
        <v>0</v>
      </c>
      <c r="P27" s="4"/>
      <c r="Q27" s="38">
        <f t="shared" si="5"/>
        <v>3271</v>
      </c>
      <c r="R27" s="58"/>
      <c r="S27" s="6" t="s">
        <v>64</v>
      </c>
      <c r="U27" s="7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8" x14ac:dyDescent="0.25">
      <c r="A28" s="36">
        <f t="shared" si="3"/>
        <v>46045</v>
      </c>
      <c r="B28" s="37" t="s">
        <v>20</v>
      </c>
      <c r="C28" s="38">
        <f t="shared" si="4"/>
        <v>3271</v>
      </c>
      <c r="D28" s="2">
        <v>764</v>
      </c>
      <c r="E28" s="2">
        <v>3206</v>
      </c>
      <c r="F28" s="2">
        <v>119</v>
      </c>
      <c r="G28" s="2"/>
      <c r="H28" s="2"/>
      <c r="I28" s="50"/>
      <c r="J28" s="50"/>
      <c r="K28" s="50"/>
      <c r="L28" s="38">
        <f t="shared" si="0"/>
        <v>4089</v>
      </c>
      <c r="M28" s="4"/>
      <c r="N28" s="38">
        <f t="shared" si="1"/>
        <v>3325</v>
      </c>
      <c r="O28" s="38">
        <f t="shared" si="2"/>
        <v>0</v>
      </c>
      <c r="P28" s="4"/>
      <c r="Q28" s="38">
        <f t="shared" si="5"/>
        <v>4035</v>
      </c>
      <c r="R28" s="58"/>
      <c r="S28" s="6"/>
      <c r="U28" s="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8" x14ac:dyDescent="0.25">
      <c r="A29" s="36">
        <f t="shared" si="3"/>
        <v>46046</v>
      </c>
      <c r="B29" s="37" t="s">
        <v>21</v>
      </c>
      <c r="C29" s="38">
        <f t="shared" si="4"/>
        <v>4035</v>
      </c>
      <c r="D29" s="2">
        <v>249</v>
      </c>
      <c r="E29" s="2">
        <v>3168</v>
      </c>
      <c r="F29" s="2">
        <v>510</v>
      </c>
      <c r="G29" s="2">
        <v>598</v>
      </c>
      <c r="H29" s="2"/>
      <c r="I29" s="50"/>
      <c r="J29" s="50"/>
      <c r="K29" s="50"/>
      <c r="L29" s="38">
        <f t="shared" si="0"/>
        <v>4525</v>
      </c>
      <c r="M29" s="4"/>
      <c r="N29" s="38">
        <f t="shared" si="1"/>
        <v>4276</v>
      </c>
      <c r="O29" s="38">
        <f t="shared" si="2"/>
        <v>0</v>
      </c>
      <c r="P29" s="4"/>
      <c r="Q29" s="38">
        <f t="shared" si="5"/>
        <v>4284</v>
      </c>
      <c r="R29" s="58"/>
      <c r="S29" s="6"/>
      <c r="U29" s="7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8" x14ac:dyDescent="0.25">
      <c r="A30" s="36">
        <f t="shared" si="3"/>
        <v>46047</v>
      </c>
      <c r="B30" s="37" t="s">
        <v>23</v>
      </c>
      <c r="C30" s="38">
        <f t="shared" si="4"/>
        <v>4284</v>
      </c>
      <c r="D30" s="2">
        <v>234</v>
      </c>
      <c r="E30" s="2">
        <v>1651</v>
      </c>
      <c r="F30" s="2">
        <v>551</v>
      </c>
      <c r="G30" s="2">
        <v>1124</v>
      </c>
      <c r="H30" s="2"/>
      <c r="I30" s="50"/>
      <c r="J30" s="50">
        <v>199</v>
      </c>
      <c r="K30" s="50"/>
      <c r="L30" s="38">
        <f t="shared" si="0"/>
        <v>3759</v>
      </c>
      <c r="M30" s="4"/>
      <c r="N30" s="38">
        <f t="shared" si="1"/>
        <v>3326</v>
      </c>
      <c r="O30" s="38">
        <f t="shared" si="2"/>
        <v>199</v>
      </c>
      <c r="P30" s="4"/>
      <c r="Q30" s="38">
        <f t="shared" si="5"/>
        <v>4518</v>
      </c>
      <c r="R30" s="58"/>
      <c r="S30" s="6"/>
      <c r="U30" s="7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8" x14ac:dyDescent="0.25">
      <c r="A31" s="36">
        <f t="shared" si="3"/>
        <v>46048</v>
      </c>
      <c r="B31" s="37" t="s">
        <v>24</v>
      </c>
      <c r="C31" s="38">
        <f t="shared" si="4"/>
        <v>4518</v>
      </c>
      <c r="D31" s="2"/>
      <c r="E31" s="2">
        <v>1412</v>
      </c>
      <c r="F31" s="2"/>
      <c r="G31" s="2">
        <v>642</v>
      </c>
      <c r="H31" s="2"/>
      <c r="I31" s="50"/>
      <c r="J31" s="50"/>
      <c r="K31" s="50"/>
      <c r="L31" s="38">
        <f t="shared" si="0"/>
        <v>2054</v>
      </c>
      <c r="M31" s="4"/>
      <c r="N31" s="38">
        <f t="shared" si="1"/>
        <v>2054</v>
      </c>
      <c r="O31" s="38">
        <f t="shared" si="2"/>
        <v>0</v>
      </c>
      <c r="P31" s="4"/>
      <c r="Q31" s="38">
        <f t="shared" si="5"/>
        <v>4518</v>
      </c>
      <c r="R31" s="58"/>
      <c r="S31" s="6"/>
      <c r="U31" s="7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8" x14ac:dyDescent="0.25">
      <c r="A32" s="36">
        <f t="shared" si="3"/>
        <v>46049</v>
      </c>
      <c r="B32" s="37" t="s">
        <v>17</v>
      </c>
      <c r="C32" s="38">
        <f t="shared" si="4"/>
        <v>4518</v>
      </c>
      <c r="D32" s="2">
        <v>1850</v>
      </c>
      <c r="E32" s="2">
        <v>4299</v>
      </c>
      <c r="F32" s="2">
        <v>606</v>
      </c>
      <c r="G32" s="2">
        <v>189</v>
      </c>
      <c r="H32" s="2"/>
      <c r="I32" s="50"/>
      <c r="J32" s="50"/>
      <c r="K32" s="50"/>
      <c r="L32" s="38">
        <f t="shared" si="0"/>
        <v>6944</v>
      </c>
      <c r="M32" s="4"/>
      <c r="N32" s="38">
        <f t="shared" si="1"/>
        <v>5094</v>
      </c>
      <c r="O32" s="38">
        <f t="shared" si="2"/>
        <v>0</v>
      </c>
      <c r="P32" s="4"/>
      <c r="Q32" s="38">
        <f t="shared" si="5"/>
        <v>6368</v>
      </c>
      <c r="R32" s="58"/>
      <c r="S32" s="6"/>
      <c r="U32" s="7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8" x14ac:dyDescent="0.25">
      <c r="A33" s="36">
        <f t="shared" si="3"/>
        <v>46050</v>
      </c>
      <c r="B33" s="37" t="s">
        <v>18</v>
      </c>
      <c r="C33" s="38">
        <f t="shared" si="4"/>
        <v>6368</v>
      </c>
      <c r="D33" s="2">
        <v>410</v>
      </c>
      <c r="E33" s="2">
        <v>6506.4</v>
      </c>
      <c r="F33" s="2">
        <v>338</v>
      </c>
      <c r="G33" s="2">
        <v>168</v>
      </c>
      <c r="H33" s="2"/>
      <c r="I33" s="50"/>
      <c r="J33" s="50"/>
      <c r="K33" s="50"/>
      <c r="L33" s="38">
        <f t="shared" si="0"/>
        <v>7422.4</v>
      </c>
      <c r="M33" s="4"/>
      <c r="N33" s="38">
        <f t="shared" si="1"/>
        <v>7012.4</v>
      </c>
      <c r="O33" s="38">
        <f t="shared" si="2"/>
        <v>0</v>
      </c>
      <c r="P33" s="4"/>
      <c r="Q33" s="38">
        <f t="shared" si="5"/>
        <v>6778</v>
      </c>
      <c r="R33" s="58"/>
      <c r="S33" s="6"/>
      <c r="U33" s="7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8" x14ac:dyDescent="0.25">
      <c r="A34" s="36">
        <f t="shared" si="3"/>
        <v>46051</v>
      </c>
      <c r="B34" s="74" t="s">
        <v>19</v>
      </c>
      <c r="C34" s="38">
        <f t="shared" si="4"/>
        <v>6778</v>
      </c>
      <c r="D34" s="2">
        <v>358</v>
      </c>
      <c r="E34" s="2">
        <v>2124</v>
      </c>
      <c r="F34" s="2">
        <v>199</v>
      </c>
      <c r="G34" s="2"/>
      <c r="H34" s="2"/>
      <c r="I34" s="50"/>
      <c r="J34" s="50">
        <v>483</v>
      </c>
      <c r="K34" s="50"/>
      <c r="L34" s="38">
        <f t="shared" si="0"/>
        <v>3164</v>
      </c>
      <c r="M34" s="4">
        <v>4300</v>
      </c>
      <c r="N34" s="38">
        <f t="shared" si="1"/>
        <v>2323</v>
      </c>
      <c r="O34" s="38">
        <f t="shared" si="2"/>
        <v>483</v>
      </c>
      <c r="P34" s="4"/>
      <c r="Q34" s="38">
        <f t="shared" si="5"/>
        <v>2836</v>
      </c>
      <c r="R34" s="58"/>
      <c r="S34" s="6" t="s">
        <v>65</v>
      </c>
      <c r="U34" s="7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8.75" thickBot="1" x14ac:dyDescent="0.3">
      <c r="A35" s="36">
        <f t="shared" si="3"/>
        <v>46052</v>
      </c>
      <c r="B35" s="39" t="s">
        <v>26</v>
      </c>
      <c r="C35" s="38">
        <f t="shared" si="4"/>
        <v>2836</v>
      </c>
      <c r="D35" s="2">
        <v>596</v>
      </c>
      <c r="E35" s="2">
        <v>3689</v>
      </c>
      <c r="F35" s="2">
        <v>179</v>
      </c>
      <c r="G35" s="2"/>
      <c r="H35" s="2"/>
      <c r="I35" s="50"/>
      <c r="J35" s="50">
        <v>149</v>
      </c>
      <c r="K35" s="50"/>
      <c r="L35" s="38">
        <f t="shared" si="0"/>
        <v>4613</v>
      </c>
      <c r="M35" s="4"/>
      <c r="N35" s="38">
        <f t="shared" si="1"/>
        <v>3868</v>
      </c>
      <c r="O35" s="38">
        <f t="shared" si="2"/>
        <v>149</v>
      </c>
      <c r="P35" s="4"/>
      <c r="Q35" s="38">
        <f t="shared" si="5"/>
        <v>3432</v>
      </c>
      <c r="R35" s="59"/>
      <c r="S35" s="8"/>
      <c r="U35" s="7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9.5" thickTop="1" thickBot="1" x14ac:dyDescent="0.3">
      <c r="A36" s="49">
        <f t="shared" si="3"/>
        <v>46053</v>
      </c>
      <c r="B36" s="39" t="s">
        <v>21</v>
      </c>
      <c r="C36" s="40">
        <f t="shared" si="4"/>
        <v>3432</v>
      </c>
      <c r="D36" s="9">
        <v>1345</v>
      </c>
      <c r="E36" s="9">
        <v>5478</v>
      </c>
      <c r="F36" s="9">
        <v>1142</v>
      </c>
      <c r="G36" s="9"/>
      <c r="H36" s="9"/>
      <c r="I36" s="51"/>
      <c r="J36" s="51">
        <v>149</v>
      </c>
      <c r="K36" s="51"/>
      <c r="L36" s="40">
        <f t="shared" si="0"/>
        <v>8114</v>
      </c>
      <c r="M36" s="11"/>
      <c r="N36" s="40">
        <f t="shared" si="1"/>
        <v>6620</v>
      </c>
      <c r="O36" s="40">
        <f t="shared" si="2"/>
        <v>149</v>
      </c>
      <c r="P36" s="11"/>
      <c r="Q36" s="40">
        <f t="shared" si="5"/>
        <v>4777</v>
      </c>
      <c r="R36" s="60"/>
      <c r="S36" s="12"/>
      <c r="U36" s="7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9.5" thickTop="1" thickBot="1" x14ac:dyDescent="0.3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1"/>
      <c r="U37" s="7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ht="19.5" thickTop="1" thickBot="1" x14ac:dyDescent="0.3">
      <c r="A38" s="84"/>
      <c r="B38" s="85"/>
      <c r="C38" s="86"/>
      <c r="D38" s="13">
        <f t="shared" ref="D38:P38" si="6">SUM(D6:D36)</f>
        <v>26127</v>
      </c>
      <c r="E38" s="13">
        <f t="shared" si="6"/>
        <v>119868.99999999999</v>
      </c>
      <c r="F38" s="13">
        <f t="shared" si="6"/>
        <v>14534</v>
      </c>
      <c r="G38" s="13">
        <f t="shared" si="6"/>
        <v>5630</v>
      </c>
      <c r="H38" s="13">
        <f t="shared" si="6"/>
        <v>22</v>
      </c>
      <c r="I38" s="13">
        <f t="shared" si="6"/>
        <v>0</v>
      </c>
      <c r="J38" s="13">
        <f t="shared" si="6"/>
        <v>5104</v>
      </c>
      <c r="K38" s="13">
        <f t="shared" si="6"/>
        <v>0</v>
      </c>
      <c r="L38" s="63">
        <f t="shared" si="6"/>
        <v>171285.99999999997</v>
      </c>
      <c r="M38" s="13">
        <f t="shared" si="6"/>
        <v>21350</v>
      </c>
      <c r="N38" s="63">
        <f t="shared" si="6"/>
        <v>140055</v>
      </c>
      <c r="O38" s="63">
        <f t="shared" si="6"/>
        <v>5104</v>
      </c>
      <c r="P38" s="13">
        <f t="shared" si="6"/>
        <v>0</v>
      </c>
      <c r="Q38" s="63">
        <f>C38+L38+-M38-N38-O38-P38</f>
        <v>4776.9999999999709</v>
      </c>
      <c r="R38" s="63"/>
      <c r="S38" s="14"/>
      <c r="U38" s="7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ht="19.5" thickTop="1" thickBot="1" x14ac:dyDescent="0.3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1"/>
      <c r="U39" s="7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ht="20.25" customHeight="1" thickTop="1" thickBot="1" x14ac:dyDescent="0.3">
      <c r="A40" s="94" t="s">
        <v>0</v>
      </c>
      <c r="B40" s="94" t="s">
        <v>1</v>
      </c>
      <c r="C40" s="98" t="s">
        <v>2</v>
      </c>
      <c r="D40" s="80" t="s">
        <v>3</v>
      </c>
      <c r="E40" s="100" t="s">
        <v>4</v>
      </c>
      <c r="F40" s="101"/>
      <c r="G40" s="101"/>
      <c r="H40" s="101"/>
      <c r="I40" s="101"/>
      <c r="J40" s="101"/>
      <c r="K40" s="102"/>
      <c r="L40" s="80" t="s">
        <v>5</v>
      </c>
      <c r="M40" s="80" t="s">
        <v>6</v>
      </c>
      <c r="N40" s="80" t="s">
        <v>7</v>
      </c>
      <c r="O40" s="80" t="s">
        <v>8</v>
      </c>
      <c r="P40" s="80" t="s">
        <v>9</v>
      </c>
      <c r="Q40" s="82" t="s">
        <v>10</v>
      </c>
      <c r="R40" s="82" t="s">
        <v>34</v>
      </c>
      <c r="S40" s="82" t="s">
        <v>11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ht="19.5" thickTop="1" thickBot="1" x14ac:dyDescent="0.3">
      <c r="A41" s="95"/>
      <c r="B41" s="95"/>
      <c r="C41" s="99"/>
      <c r="D41" s="81"/>
      <c r="E41" s="41" t="s">
        <v>12</v>
      </c>
      <c r="F41" s="42" t="s">
        <v>13</v>
      </c>
      <c r="G41" s="41" t="s">
        <v>14</v>
      </c>
      <c r="H41" s="41" t="s">
        <v>15</v>
      </c>
      <c r="I41" s="41" t="s">
        <v>45</v>
      </c>
      <c r="J41" s="42" t="s">
        <v>44</v>
      </c>
      <c r="K41" s="42" t="s">
        <v>46</v>
      </c>
      <c r="L41" s="81"/>
      <c r="M41" s="81"/>
      <c r="N41" s="81"/>
      <c r="O41" s="81"/>
      <c r="P41" s="81"/>
      <c r="Q41" s="83"/>
      <c r="R41" s="83"/>
      <c r="S41" s="83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ht="18.75" thickTop="1" x14ac:dyDescent="0.25">
      <c r="A42" s="36">
        <f>A36+1</f>
        <v>46054</v>
      </c>
      <c r="B42" s="37" t="s">
        <v>22</v>
      </c>
      <c r="C42" s="38">
        <f>Q38</f>
        <v>4776.9999999999709</v>
      </c>
      <c r="D42" s="15">
        <v>-50</v>
      </c>
      <c r="E42" s="15">
        <v>2601.39</v>
      </c>
      <c r="F42" s="15"/>
      <c r="G42" s="15">
        <v>25</v>
      </c>
      <c r="H42" s="15"/>
      <c r="I42" s="15"/>
      <c r="J42" s="15"/>
      <c r="K42" s="15"/>
      <c r="L42" s="38">
        <f t="shared" ref="L42:L70" si="7">SUM(D42:K42)</f>
        <v>2576.39</v>
      </c>
      <c r="M42" s="4"/>
      <c r="N42" s="38">
        <f t="shared" ref="N42:N70" si="8">SUM(E42+F42+G42+H42)</f>
        <v>2626.39</v>
      </c>
      <c r="O42" s="38">
        <f t="shared" ref="O42:O70" si="9">I42+K42+J42</f>
        <v>0</v>
      </c>
      <c r="P42" s="4"/>
      <c r="Q42" s="38">
        <f t="shared" ref="Q42:Q70" si="10">C42+L42+-M42-N42-O42-P42</f>
        <v>4726.9999999999709</v>
      </c>
      <c r="R42" s="58"/>
      <c r="S42" s="6"/>
      <c r="U42" s="7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ht="18" x14ac:dyDescent="0.25">
      <c r="A43" s="36">
        <f>A42+1</f>
        <v>46055</v>
      </c>
      <c r="B43" s="37" t="s">
        <v>16</v>
      </c>
      <c r="C43" s="38">
        <f t="shared" ref="C43:C70" si="11">Q42</f>
        <v>4726.9999999999709</v>
      </c>
      <c r="D43" s="15">
        <v>497.2</v>
      </c>
      <c r="E43" s="15">
        <v>1620.2</v>
      </c>
      <c r="F43" s="15">
        <v>238</v>
      </c>
      <c r="G43" s="15"/>
      <c r="H43" s="15"/>
      <c r="I43" s="15"/>
      <c r="J43" s="15"/>
      <c r="K43" s="15"/>
      <c r="L43" s="38">
        <f t="shared" si="7"/>
        <v>2355.4</v>
      </c>
      <c r="M43" s="4"/>
      <c r="N43" s="38">
        <f>SUM(E43+F43+G43+H43)</f>
        <v>1858.2</v>
      </c>
      <c r="O43" s="38">
        <f t="shared" si="9"/>
        <v>0</v>
      </c>
      <c r="P43" s="4"/>
      <c r="Q43" s="38">
        <f t="shared" si="10"/>
        <v>5224.1999999999707</v>
      </c>
      <c r="R43" s="58"/>
      <c r="S43" s="6"/>
      <c r="U43" s="7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ht="18" x14ac:dyDescent="0.25">
      <c r="A44" s="36">
        <f t="shared" ref="A44:A69" si="12">A43+1</f>
        <v>46056</v>
      </c>
      <c r="B44" s="37" t="s">
        <v>17</v>
      </c>
      <c r="C44" s="38">
        <f t="shared" si="11"/>
        <v>5224.1999999999707</v>
      </c>
      <c r="D44" s="15">
        <v>871</v>
      </c>
      <c r="E44" s="15">
        <v>1497.2</v>
      </c>
      <c r="F44" s="15">
        <v>984</v>
      </c>
      <c r="G44" s="15">
        <v>365</v>
      </c>
      <c r="H44" s="15"/>
      <c r="I44" s="15"/>
      <c r="J44" s="15"/>
      <c r="K44" s="15"/>
      <c r="L44" s="38">
        <f t="shared" si="7"/>
        <v>3717.2</v>
      </c>
      <c r="M44" s="4"/>
      <c r="N44" s="38">
        <f t="shared" si="8"/>
        <v>2846.2</v>
      </c>
      <c r="O44" s="38">
        <f t="shared" si="9"/>
        <v>0</v>
      </c>
      <c r="P44" s="4"/>
      <c r="Q44" s="38">
        <f t="shared" si="10"/>
        <v>6095.1999999999707</v>
      </c>
      <c r="R44" s="58"/>
      <c r="S44" s="6"/>
      <c r="U44" s="7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ht="18" x14ac:dyDescent="0.25">
      <c r="A45" s="36">
        <f t="shared" si="12"/>
        <v>46057</v>
      </c>
      <c r="B45" s="37" t="s">
        <v>18</v>
      </c>
      <c r="C45" s="38">
        <f t="shared" si="11"/>
        <v>6095.1999999999707</v>
      </c>
      <c r="D45" s="15">
        <v>2335</v>
      </c>
      <c r="E45" s="15">
        <v>2641</v>
      </c>
      <c r="F45" s="15"/>
      <c r="G45" s="15"/>
      <c r="H45" s="15"/>
      <c r="I45" s="15"/>
      <c r="J45" s="15"/>
      <c r="K45" s="15"/>
      <c r="L45" s="38">
        <f t="shared" si="7"/>
        <v>4976</v>
      </c>
      <c r="M45" s="4">
        <v>4500</v>
      </c>
      <c r="N45" s="38">
        <f t="shared" si="8"/>
        <v>2641</v>
      </c>
      <c r="O45" s="38">
        <f t="shared" si="9"/>
        <v>0</v>
      </c>
      <c r="P45" s="4"/>
      <c r="Q45" s="38">
        <f t="shared" si="10"/>
        <v>3930.1999999999716</v>
      </c>
      <c r="R45" s="58"/>
      <c r="S45" s="6" t="s">
        <v>66</v>
      </c>
      <c r="U45" s="7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ht="18" x14ac:dyDescent="0.25">
      <c r="A46" s="36">
        <f t="shared" si="12"/>
        <v>46058</v>
      </c>
      <c r="B46" s="37" t="s">
        <v>19</v>
      </c>
      <c r="C46" s="38">
        <f t="shared" si="11"/>
        <v>3930.1999999999716</v>
      </c>
      <c r="D46" s="15">
        <v>465.2</v>
      </c>
      <c r="E46" s="15">
        <v>3458</v>
      </c>
      <c r="F46" s="15">
        <v>1115</v>
      </c>
      <c r="G46" s="15"/>
      <c r="H46" s="15"/>
      <c r="I46" s="15"/>
      <c r="J46" s="15"/>
      <c r="K46" s="15"/>
      <c r="L46" s="38">
        <f t="shared" si="7"/>
        <v>5038.2</v>
      </c>
      <c r="M46" s="4"/>
      <c r="N46" s="38">
        <f t="shared" si="8"/>
        <v>4573</v>
      </c>
      <c r="O46" s="38">
        <f t="shared" si="9"/>
        <v>0</v>
      </c>
      <c r="P46" s="4"/>
      <c r="Q46" s="38">
        <f t="shared" si="10"/>
        <v>4395.3999999999724</v>
      </c>
      <c r="R46" s="58"/>
      <c r="S46" s="6"/>
      <c r="U46" s="7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ht="18" x14ac:dyDescent="0.25">
      <c r="A47" s="36">
        <f t="shared" si="12"/>
        <v>46059</v>
      </c>
      <c r="B47" s="37" t="s">
        <v>20</v>
      </c>
      <c r="C47" s="38">
        <f t="shared" si="11"/>
        <v>4395.3999999999724</v>
      </c>
      <c r="D47" s="15">
        <v>1764.8</v>
      </c>
      <c r="E47" s="15">
        <v>2517</v>
      </c>
      <c r="F47" s="15">
        <v>918</v>
      </c>
      <c r="G47" s="15">
        <v>147</v>
      </c>
      <c r="H47" s="15"/>
      <c r="I47" s="15"/>
      <c r="J47" s="15"/>
      <c r="K47" s="15"/>
      <c r="L47" s="38">
        <f t="shared" si="7"/>
        <v>5346.8</v>
      </c>
      <c r="M47" s="4"/>
      <c r="N47" s="38">
        <f t="shared" si="8"/>
        <v>3582</v>
      </c>
      <c r="O47" s="38">
        <f t="shared" si="9"/>
        <v>0</v>
      </c>
      <c r="P47" s="4"/>
      <c r="Q47" s="38">
        <f t="shared" si="10"/>
        <v>6160.1999999999716</v>
      </c>
      <c r="R47" s="58"/>
      <c r="S47" s="6"/>
      <c r="U47" s="7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ht="18" x14ac:dyDescent="0.25">
      <c r="A48" s="36">
        <f t="shared" si="12"/>
        <v>46060</v>
      </c>
      <c r="B48" s="37" t="s">
        <v>21</v>
      </c>
      <c r="C48" s="38">
        <f t="shared" si="11"/>
        <v>6160.1999999999716</v>
      </c>
      <c r="D48" s="15">
        <v>1245</v>
      </c>
      <c r="E48" s="15">
        <v>2356</v>
      </c>
      <c r="F48" s="15">
        <v>688</v>
      </c>
      <c r="G48" s="15">
        <v>748</v>
      </c>
      <c r="H48" s="15"/>
      <c r="I48" s="15"/>
      <c r="J48" s="15"/>
      <c r="K48" s="15"/>
      <c r="L48" s="38">
        <f t="shared" si="7"/>
        <v>5037</v>
      </c>
      <c r="M48" s="4"/>
      <c r="N48" s="38">
        <f t="shared" si="8"/>
        <v>3792</v>
      </c>
      <c r="O48" s="38">
        <f t="shared" si="9"/>
        <v>0</v>
      </c>
      <c r="P48" s="4"/>
      <c r="Q48" s="38">
        <f t="shared" si="10"/>
        <v>7405.1999999999716</v>
      </c>
      <c r="R48" s="58"/>
      <c r="S48" s="6"/>
      <c r="U48" s="7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ht="18" x14ac:dyDescent="0.25">
      <c r="A49" s="36">
        <f t="shared" si="12"/>
        <v>46061</v>
      </c>
      <c r="B49" s="37" t="s">
        <v>22</v>
      </c>
      <c r="C49" s="38">
        <f t="shared" si="11"/>
        <v>7405.1999999999716</v>
      </c>
      <c r="D49" s="15">
        <v>1628</v>
      </c>
      <c r="E49" s="15">
        <v>2770</v>
      </c>
      <c r="F49" s="15">
        <v>1511</v>
      </c>
      <c r="G49" s="15"/>
      <c r="H49" s="15"/>
      <c r="I49" s="15"/>
      <c r="J49" s="15">
        <v>561</v>
      </c>
      <c r="K49" s="15"/>
      <c r="L49" s="38">
        <f t="shared" si="7"/>
        <v>6470</v>
      </c>
      <c r="M49" s="4"/>
      <c r="N49" s="38">
        <f t="shared" si="8"/>
        <v>4281</v>
      </c>
      <c r="O49" s="38">
        <f t="shared" si="9"/>
        <v>561</v>
      </c>
      <c r="P49" s="4"/>
      <c r="Q49" s="38">
        <f t="shared" si="10"/>
        <v>9033.1999999999716</v>
      </c>
      <c r="R49" s="58"/>
      <c r="S49" s="6"/>
      <c r="U49" s="7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ht="18" x14ac:dyDescent="0.25">
      <c r="A50" s="36">
        <f t="shared" si="12"/>
        <v>46062</v>
      </c>
      <c r="B50" s="37" t="s">
        <v>16</v>
      </c>
      <c r="C50" s="38">
        <f t="shared" si="11"/>
        <v>9033.1999999999716</v>
      </c>
      <c r="D50" s="15">
        <v>1071</v>
      </c>
      <c r="E50" s="15">
        <v>5898</v>
      </c>
      <c r="F50" s="15">
        <v>689</v>
      </c>
      <c r="G50" s="15">
        <v>400</v>
      </c>
      <c r="H50" s="15"/>
      <c r="I50" s="15"/>
      <c r="J50" s="15"/>
      <c r="K50" s="15"/>
      <c r="L50" s="38">
        <f t="shared" si="7"/>
        <v>8058</v>
      </c>
      <c r="M50" s="4"/>
      <c r="N50" s="38">
        <f t="shared" si="8"/>
        <v>6987</v>
      </c>
      <c r="O50" s="38">
        <f t="shared" si="9"/>
        <v>0</v>
      </c>
      <c r="P50" s="4"/>
      <c r="Q50" s="38">
        <f t="shared" si="10"/>
        <v>10104.199999999972</v>
      </c>
      <c r="R50" s="58"/>
      <c r="S50" s="6"/>
      <c r="U50" s="7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ht="18" x14ac:dyDescent="0.25">
      <c r="A51" s="36">
        <f t="shared" si="12"/>
        <v>46063</v>
      </c>
      <c r="B51" s="37" t="s">
        <v>17</v>
      </c>
      <c r="C51" s="38">
        <f t="shared" si="11"/>
        <v>10104.199999999972</v>
      </c>
      <c r="D51" s="15">
        <v>1226</v>
      </c>
      <c r="E51" s="15">
        <v>5512</v>
      </c>
      <c r="F51" s="15">
        <v>790</v>
      </c>
      <c r="G51" s="15">
        <v>454</v>
      </c>
      <c r="H51" s="15"/>
      <c r="I51" s="15"/>
      <c r="J51" s="15"/>
      <c r="K51" s="15"/>
      <c r="L51" s="38">
        <f t="shared" si="7"/>
        <v>7982</v>
      </c>
      <c r="M51" s="4"/>
      <c r="N51" s="38">
        <f t="shared" si="8"/>
        <v>6756</v>
      </c>
      <c r="O51" s="38">
        <f t="shared" si="9"/>
        <v>0</v>
      </c>
      <c r="P51" s="4"/>
      <c r="Q51" s="38">
        <f t="shared" si="10"/>
        <v>11330.199999999972</v>
      </c>
      <c r="R51" s="58"/>
      <c r="S51" s="6"/>
      <c r="U51" s="7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ht="18" x14ac:dyDescent="0.25">
      <c r="A52" s="36">
        <f t="shared" si="12"/>
        <v>46064</v>
      </c>
      <c r="B52" s="37" t="s">
        <v>18</v>
      </c>
      <c r="C52" s="38">
        <f t="shared" si="11"/>
        <v>11330.199999999972</v>
      </c>
      <c r="D52" s="15">
        <v>902</v>
      </c>
      <c r="E52" s="15">
        <v>3223</v>
      </c>
      <c r="F52" s="15">
        <v>594</v>
      </c>
      <c r="G52" s="15">
        <v>303</v>
      </c>
      <c r="H52" s="15"/>
      <c r="I52" s="15"/>
      <c r="J52" s="15"/>
      <c r="K52" s="15"/>
      <c r="L52" s="38">
        <f t="shared" si="7"/>
        <v>5022</v>
      </c>
      <c r="M52" s="4">
        <v>6450</v>
      </c>
      <c r="N52" s="38">
        <f t="shared" si="8"/>
        <v>4120</v>
      </c>
      <c r="O52" s="38">
        <f t="shared" si="9"/>
        <v>0</v>
      </c>
      <c r="P52" s="4"/>
      <c r="Q52" s="38">
        <f t="shared" si="10"/>
        <v>5782.1999999999716</v>
      </c>
      <c r="R52" s="58"/>
      <c r="S52" s="6" t="s">
        <v>67</v>
      </c>
      <c r="U52" s="7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ht="18" x14ac:dyDescent="0.25">
      <c r="A53" s="36">
        <f t="shared" si="12"/>
        <v>46065</v>
      </c>
      <c r="B53" s="37" t="s">
        <v>19</v>
      </c>
      <c r="C53" s="38">
        <f t="shared" si="11"/>
        <v>5782.1999999999716</v>
      </c>
      <c r="D53" s="15">
        <v>2001</v>
      </c>
      <c r="E53" s="15">
        <v>4181</v>
      </c>
      <c r="F53" s="15">
        <v>1367</v>
      </c>
      <c r="G53" s="15">
        <v>209</v>
      </c>
      <c r="H53" s="15"/>
      <c r="I53" s="15"/>
      <c r="J53" s="15"/>
      <c r="K53" s="15"/>
      <c r="L53" s="38">
        <f t="shared" si="7"/>
        <v>7758</v>
      </c>
      <c r="M53" s="4"/>
      <c r="N53" s="38">
        <f t="shared" si="8"/>
        <v>5757</v>
      </c>
      <c r="O53" s="38">
        <f t="shared" si="9"/>
        <v>0</v>
      </c>
      <c r="P53" s="4"/>
      <c r="Q53" s="38">
        <f t="shared" si="10"/>
        <v>7783.1999999999716</v>
      </c>
      <c r="R53" s="58"/>
      <c r="S53" s="6"/>
      <c r="U53" s="7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ht="18" x14ac:dyDescent="0.25">
      <c r="A54" s="36">
        <f t="shared" si="12"/>
        <v>46066</v>
      </c>
      <c r="B54" s="37" t="s">
        <v>20</v>
      </c>
      <c r="C54" s="38">
        <f t="shared" si="11"/>
        <v>7783.1999999999716</v>
      </c>
      <c r="D54" s="15">
        <v>2328.6</v>
      </c>
      <c r="E54" s="15">
        <v>4922</v>
      </c>
      <c r="F54" s="15">
        <v>890</v>
      </c>
      <c r="G54" s="15"/>
      <c r="H54" s="15"/>
      <c r="I54" s="15"/>
      <c r="J54" s="15"/>
      <c r="K54" s="15"/>
      <c r="L54" s="38">
        <f t="shared" si="7"/>
        <v>8140.6</v>
      </c>
      <c r="M54" s="4"/>
      <c r="N54" s="38">
        <f t="shared" si="8"/>
        <v>5812</v>
      </c>
      <c r="O54" s="38">
        <f t="shared" si="9"/>
        <v>0</v>
      </c>
      <c r="P54" s="4"/>
      <c r="Q54" s="38">
        <f t="shared" si="10"/>
        <v>10111.799999999972</v>
      </c>
      <c r="R54" s="58"/>
      <c r="S54" s="6"/>
      <c r="U54" s="7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ht="18" x14ac:dyDescent="0.25">
      <c r="A55" s="36">
        <f t="shared" si="12"/>
        <v>46067</v>
      </c>
      <c r="B55" s="37" t="s">
        <v>21</v>
      </c>
      <c r="C55" s="38">
        <f t="shared" si="11"/>
        <v>10111.799999999972</v>
      </c>
      <c r="D55" s="15">
        <v>702</v>
      </c>
      <c r="E55" s="15">
        <v>6830</v>
      </c>
      <c r="F55" s="15">
        <v>2203</v>
      </c>
      <c r="G55" s="15">
        <v>361</v>
      </c>
      <c r="H55" s="15"/>
      <c r="I55" s="15"/>
      <c r="J55" s="15"/>
      <c r="K55" s="15"/>
      <c r="L55" s="38">
        <f t="shared" si="7"/>
        <v>10096</v>
      </c>
      <c r="M55" s="4"/>
      <c r="N55" s="38">
        <f t="shared" si="8"/>
        <v>9394</v>
      </c>
      <c r="O55" s="38">
        <f t="shared" si="9"/>
        <v>0</v>
      </c>
      <c r="P55" s="4"/>
      <c r="Q55" s="38">
        <f t="shared" si="10"/>
        <v>10813.799999999974</v>
      </c>
      <c r="R55" s="58"/>
      <c r="S55" s="6"/>
      <c r="U55" s="7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ht="18" x14ac:dyDescent="0.25">
      <c r="A56" s="36">
        <f t="shared" si="12"/>
        <v>46068</v>
      </c>
      <c r="B56" s="37" t="s">
        <v>22</v>
      </c>
      <c r="C56" s="38">
        <f t="shared" si="11"/>
        <v>10813.799999999974</v>
      </c>
      <c r="D56" s="15">
        <v>1708.8</v>
      </c>
      <c r="E56" s="15">
        <v>4565</v>
      </c>
      <c r="F56" s="15">
        <v>939</v>
      </c>
      <c r="G56" s="15"/>
      <c r="H56" s="15"/>
      <c r="I56" s="15"/>
      <c r="J56" s="15">
        <v>337</v>
      </c>
      <c r="K56" s="15"/>
      <c r="L56" s="38">
        <f t="shared" si="7"/>
        <v>7549.8</v>
      </c>
      <c r="M56" s="4">
        <v>5600</v>
      </c>
      <c r="N56" s="38">
        <f t="shared" si="8"/>
        <v>5504</v>
      </c>
      <c r="O56" s="38">
        <f t="shared" si="9"/>
        <v>337</v>
      </c>
      <c r="P56" s="4"/>
      <c r="Q56" s="38">
        <f t="shared" si="10"/>
        <v>6922.5999999999731</v>
      </c>
      <c r="R56" s="58"/>
      <c r="S56" s="6" t="s">
        <v>68</v>
      </c>
      <c r="U56" s="7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ht="18" x14ac:dyDescent="0.25">
      <c r="A57" s="36">
        <f t="shared" si="12"/>
        <v>46069</v>
      </c>
      <c r="B57" s="37" t="s">
        <v>24</v>
      </c>
      <c r="C57" s="38">
        <f t="shared" si="11"/>
        <v>6922.5999999999731</v>
      </c>
      <c r="D57" s="15">
        <v>233.2</v>
      </c>
      <c r="E57" s="15">
        <v>6056.2</v>
      </c>
      <c r="F57" s="15">
        <v>1092</v>
      </c>
      <c r="G57" s="15">
        <v>289</v>
      </c>
      <c r="H57" s="15"/>
      <c r="I57" s="15"/>
      <c r="J57" s="15"/>
      <c r="K57" s="15"/>
      <c r="L57" s="38">
        <f t="shared" si="7"/>
        <v>7670.4</v>
      </c>
      <c r="M57" s="4"/>
      <c r="N57" s="38">
        <f t="shared" si="8"/>
        <v>7437.2</v>
      </c>
      <c r="O57" s="38">
        <f t="shared" si="9"/>
        <v>0</v>
      </c>
      <c r="P57" s="4"/>
      <c r="Q57" s="38">
        <f t="shared" si="10"/>
        <v>7155.7999999999729</v>
      </c>
      <c r="R57" s="58"/>
      <c r="S57" s="6"/>
      <c r="U57" s="7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ht="18" x14ac:dyDescent="0.25">
      <c r="A58" s="36">
        <f t="shared" si="12"/>
        <v>46070</v>
      </c>
      <c r="B58" s="37" t="s">
        <v>17</v>
      </c>
      <c r="C58" s="38">
        <f t="shared" si="11"/>
        <v>7155.7999999999729</v>
      </c>
      <c r="D58" s="15">
        <v>421</v>
      </c>
      <c r="E58" s="15">
        <v>2903</v>
      </c>
      <c r="F58" s="15">
        <v>896</v>
      </c>
      <c r="G58" s="15">
        <v>501</v>
      </c>
      <c r="H58" s="15"/>
      <c r="I58" s="15"/>
      <c r="J58" s="15"/>
      <c r="K58" s="15"/>
      <c r="L58" s="38">
        <f t="shared" si="7"/>
        <v>4721</v>
      </c>
      <c r="M58" s="4"/>
      <c r="N58" s="38">
        <f t="shared" si="8"/>
        <v>4300</v>
      </c>
      <c r="O58" s="38">
        <f t="shared" si="9"/>
        <v>0</v>
      </c>
      <c r="P58" s="4"/>
      <c r="Q58" s="38">
        <f t="shared" si="10"/>
        <v>7576.7999999999738</v>
      </c>
      <c r="R58" s="58"/>
      <c r="S58" s="6"/>
      <c r="U58" s="7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ht="18" x14ac:dyDescent="0.25">
      <c r="A59" s="36">
        <f t="shared" si="12"/>
        <v>46071</v>
      </c>
      <c r="B59" s="37" t="s">
        <v>25</v>
      </c>
      <c r="C59" s="38">
        <f t="shared" si="11"/>
        <v>7576.7999999999738</v>
      </c>
      <c r="D59" s="15">
        <v>1213.2</v>
      </c>
      <c r="E59" s="15">
        <v>5342</v>
      </c>
      <c r="F59" s="15">
        <v>184</v>
      </c>
      <c r="G59" s="15">
        <v>870</v>
      </c>
      <c r="H59" s="15"/>
      <c r="I59" s="15"/>
      <c r="J59" s="15"/>
      <c r="K59" s="15"/>
      <c r="L59" s="38">
        <f t="shared" si="7"/>
        <v>7609.2</v>
      </c>
      <c r="M59" s="4"/>
      <c r="N59" s="38">
        <f t="shared" si="8"/>
        <v>6396</v>
      </c>
      <c r="O59" s="38">
        <f t="shared" si="9"/>
        <v>0</v>
      </c>
      <c r="P59" s="4"/>
      <c r="Q59" s="38">
        <f t="shared" si="10"/>
        <v>8789.9999999999745</v>
      </c>
      <c r="R59" s="58"/>
      <c r="S59" s="6"/>
      <c r="U59" s="7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ht="18" x14ac:dyDescent="0.25">
      <c r="A60" s="36">
        <f t="shared" si="12"/>
        <v>46072</v>
      </c>
      <c r="B60" s="37" t="s">
        <v>19</v>
      </c>
      <c r="C60" s="38">
        <f t="shared" si="11"/>
        <v>8789.9999999999745</v>
      </c>
      <c r="D60" s="15">
        <v>851</v>
      </c>
      <c r="E60" s="15">
        <v>7564</v>
      </c>
      <c r="F60" s="15">
        <v>1449</v>
      </c>
      <c r="G60" s="15">
        <v>471</v>
      </c>
      <c r="H60" s="15"/>
      <c r="I60" s="15"/>
      <c r="J60" s="15">
        <v>1495</v>
      </c>
      <c r="K60" s="15"/>
      <c r="L60" s="38">
        <f t="shared" si="7"/>
        <v>11830</v>
      </c>
      <c r="M60" s="4"/>
      <c r="N60" s="38">
        <f t="shared" si="8"/>
        <v>9484</v>
      </c>
      <c r="O60" s="38">
        <f t="shared" si="9"/>
        <v>1495</v>
      </c>
      <c r="P60" s="4"/>
      <c r="Q60" s="38">
        <f t="shared" si="10"/>
        <v>9640.9999999999745</v>
      </c>
      <c r="R60" s="58"/>
      <c r="S60" s="6"/>
      <c r="U60" s="7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ht="18" x14ac:dyDescent="0.25">
      <c r="A61" s="36">
        <f t="shared" si="12"/>
        <v>46073</v>
      </c>
      <c r="B61" s="37" t="s">
        <v>20</v>
      </c>
      <c r="C61" s="38">
        <f t="shared" si="11"/>
        <v>9640.9999999999745</v>
      </c>
      <c r="D61" s="15">
        <v>2143</v>
      </c>
      <c r="E61" s="15">
        <v>7607</v>
      </c>
      <c r="F61" s="15">
        <v>1989.2</v>
      </c>
      <c r="G61" s="15">
        <v>433</v>
      </c>
      <c r="H61" s="15"/>
      <c r="I61" s="15"/>
      <c r="J61" s="15">
        <v>180</v>
      </c>
      <c r="K61" s="15"/>
      <c r="L61" s="38">
        <f t="shared" si="7"/>
        <v>12352.2</v>
      </c>
      <c r="M61" s="4">
        <v>3500</v>
      </c>
      <c r="N61" s="38">
        <f t="shared" si="8"/>
        <v>10029.200000000001</v>
      </c>
      <c r="O61" s="38">
        <f t="shared" si="9"/>
        <v>180</v>
      </c>
      <c r="P61" s="4"/>
      <c r="Q61" s="38">
        <f t="shared" si="10"/>
        <v>8283.9999999999745</v>
      </c>
      <c r="R61" s="58"/>
      <c r="S61" s="6" t="s">
        <v>69</v>
      </c>
      <c r="U61" s="7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ht="18" x14ac:dyDescent="0.25">
      <c r="A62" s="36">
        <f t="shared" si="12"/>
        <v>46074</v>
      </c>
      <c r="B62" s="37" t="s">
        <v>21</v>
      </c>
      <c r="C62" s="38">
        <f t="shared" si="11"/>
        <v>8283.9999999999745</v>
      </c>
      <c r="D62" s="15">
        <v>5572</v>
      </c>
      <c r="E62" s="15">
        <v>8566</v>
      </c>
      <c r="F62" s="15">
        <v>3004</v>
      </c>
      <c r="G62" s="15">
        <v>490</v>
      </c>
      <c r="H62" s="15"/>
      <c r="I62" s="15"/>
      <c r="J62" s="15"/>
      <c r="K62" s="15"/>
      <c r="L62" s="38">
        <f t="shared" si="7"/>
        <v>17632</v>
      </c>
      <c r="M62" s="4">
        <v>7000</v>
      </c>
      <c r="N62" s="38">
        <f t="shared" si="8"/>
        <v>12060</v>
      </c>
      <c r="O62" s="38">
        <f t="shared" si="9"/>
        <v>0</v>
      </c>
      <c r="P62" s="4"/>
      <c r="Q62" s="38">
        <f t="shared" si="10"/>
        <v>6855.9999999999745</v>
      </c>
      <c r="R62" s="58"/>
      <c r="S62" s="6" t="s">
        <v>70</v>
      </c>
      <c r="U62" s="7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ht="18" x14ac:dyDescent="0.25">
      <c r="A63" s="36">
        <f t="shared" si="12"/>
        <v>46075</v>
      </c>
      <c r="B63" s="37" t="s">
        <v>23</v>
      </c>
      <c r="C63" s="38">
        <f t="shared" si="11"/>
        <v>6855.9999999999745</v>
      </c>
      <c r="D63" s="15">
        <v>1714</v>
      </c>
      <c r="E63" s="15">
        <v>8712.01</v>
      </c>
      <c r="F63" s="15">
        <v>2204</v>
      </c>
      <c r="G63" s="15">
        <v>1468</v>
      </c>
      <c r="H63" s="15"/>
      <c r="I63" s="15"/>
      <c r="J63" s="15"/>
      <c r="K63" s="15"/>
      <c r="L63" s="38">
        <f t="shared" si="7"/>
        <v>14098.01</v>
      </c>
      <c r="M63" s="4"/>
      <c r="N63" s="38">
        <f t="shared" si="8"/>
        <v>12384.01</v>
      </c>
      <c r="O63" s="38">
        <f t="shared" si="9"/>
        <v>0</v>
      </c>
      <c r="P63" s="4"/>
      <c r="Q63" s="38">
        <f t="shared" si="10"/>
        <v>8569.9999999999727</v>
      </c>
      <c r="R63" s="58"/>
      <c r="S63" s="6"/>
      <c r="U63" s="7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ht="18" x14ac:dyDescent="0.25">
      <c r="A64" s="36">
        <f t="shared" si="12"/>
        <v>46076</v>
      </c>
      <c r="B64" s="37" t="s">
        <v>24</v>
      </c>
      <c r="C64" s="38">
        <f t="shared" si="11"/>
        <v>8569.9999999999727</v>
      </c>
      <c r="D64" s="15">
        <v>2417.6</v>
      </c>
      <c r="E64" s="15">
        <v>11209</v>
      </c>
      <c r="F64" s="15">
        <v>1813</v>
      </c>
      <c r="G64" s="15">
        <v>438</v>
      </c>
      <c r="H64" s="15"/>
      <c r="I64" s="15"/>
      <c r="J64" s="15"/>
      <c r="K64" s="15"/>
      <c r="L64" s="38">
        <f t="shared" si="7"/>
        <v>15877.6</v>
      </c>
      <c r="M64" s="4"/>
      <c r="N64" s="38">
        <f t="shared" si="8"/>
        <v>13460</v>
      </c>
      <c r="O64" s="38">
        <f t="shared" si="9"/>
        <v>0</v>
      </c>
      <c r="P64" s="4"/>
      <c r="Q64" s="38">
        <f t="shared" si="10"/>
        <v>10987.599999999973</v>
      </c>
      <c r="R64" s="58"/>
      <c r="S64" s="6"/>
      <c r="U64" s="7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ht="18" x14ac:dyDescent="0.25">
      <c r="A65" s="36">
        <f t="shared" si="12"/>
        <v>46077</v>
      </c>
      <c r="B65" s="37" t="s">
        <v>17</v>
      </c>
      <c r="C65" s="38">
        <f t="shared" si="11"/>
        <v>10987.599999999973</v>
      </c>
      <c r="D65" s="15">
        <v>969</v>
      </c>
      <c r="E65" s="15">
        <v>7124</v>
      </c>
      <c r="F65" s="15">
        <v>1748</v>
      </c>
      <c r="G65" s="15">
        <v>407</v>
      </c>
      <c r="H65" s="15"/>
      <c r="I65" s="15"/>
      <c r="J65" s="15"/>
      <c r="K65" s="15"/>
      <c r="L65" s="38">
        <f t="shared" si="7"/>
        <v>10248</v>
      </c>
      <c r="M65" s="4"/>
      <c r="N65" s="38">
        <f t="shared" si="8"/>
        <v>9279</v>
      </c>
      <c r="O65" s="38">
        <f t="shared" si="9"/>
        <v>0</v>
      </c>
      <c r="P65" s="4"/>
      <c r="Q65" s="38">
        <f t="shared" si="10"/>
        <v>11956.599999999973</v>
      </c>
      <c r="R65" s="58"/>
      <c r="S65" s="6"/>
      <c r="U65" s="7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ht="18" x14ac:dyDescent="0.25">
      <c r="A66" s="36">
        <f t="shared" si="12"/>
        <v>46078</v>
      </c>
      <c r="B66" s="37" t="s">
        <v>25</v>
      </c>
      <c r="C66" s="38">
        <f t="shared" si="11"/>
        <v>11956.599999999973</v>
      </c>
      <c r="D66" s="15">
        <v>3545</v>
      </c>
      <c r="E66" s="15">
        <v>10883</v>
      </c>
      <c r="F66" s="15">
        <v>1079</v>
      </c>
      <c r="G66" s="15">
        <v>814</v>
      </c>
      <c r="H66" s="15"/>
      <c r="I66" s="15"/>
      <c r="J66" s="15">
        <v>686</v>
      </c>
      <c r="K66" s="15"/>
      <c r="L66" s="38">
        <f t="shared" si="7"/>
        <v>17007</v>
      </c>
      <c r="M66" s="4">
        <v>5700</v>
      </c>
      <c r="N66" s="38">
        <f t="shared" si="8"/>
        <v>12776</v>
      </c>
      <c r="O66" s="38">
        <f t="shared" si="9"/>
        <v>686</v>
      </c>
      <c r="P66" s="4"/>
      <c r="Q66" s="38">
        <f t="shared" si="10"/>
        <v>9801.5999999999731</v>
      </c>
      <c r="R66" s="58"/>
      <c r="S66" s="6" t="s">
        <v>71</v>
      </c>
      <c r="U66" s="7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ht="18" x14ac:dyDescent="0.25">
      <c r="A67" s="36">
        <f t="shared" si="12"/>
        <v>46079</v>
      </c>
      <c r="B67" s="37" t="s">
        <v>19</v>
      </c>
      <c r="C67" s="38">
        <f t="shared" si="11"/>
        <v>9801.5999999999731</v>
      </c>
      <c r="D67" s="15">
        <v>1523</v>
      </c>
      <c r="E67" s="15">
        <v>19545.900000000001</v>
      </c>
      <c r="F67" s="15">
        <v>3915</v>
      </c>
      <c r="G67" s="15">
        <v>357.5</v>
      </c>
      <c r="H67" s="15"/>
      <c r="I67" s="15"/>
      <c r="J67" s="15">
        <v>664</v>
      </c>
      <c r="K67" s="15"/>
      <c r="L67" s="38">
        <f t="shared" si="7"/>
        <v>26005.4</v>
      </c>
      <c r="M67" s="4"/>
      <c r="N67" s="38">
        <f t="shared" si="8"/>
        <v>23818.400000000001</v>
      </c>
      <c r="O67" s="38">
        <f t="shared" si="9"/>
        <v>664</v>
      </c>
      <c r="P67" s="4"/>
      <c r="Q67" s="38">
        <f t="shared" si="10"/>
        <v>11324.599999999969</v>
      </c>
      <c r="R67" s="58"/>
      <c r="S67" s="6"/>
      <c r="U67" s="7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ht="18" x14ac:dyDescent="0.25">
      <c r="A68" s="36">
        <f t="shared" si="12"/>
        <v>46080</v>
      </c>
      <c r="B68" s="37" t="s">
        <v>20</v>
      </c>
      <c r="C68" s="38">
        <f t="shared" si="11"/>
        <v>11324.599999999969</v>
      </c>
      <c r="D68" s="15">
        <v>4742.3999999999996</v>
      </c>
      <c r="E68" s="15">
        <v>30482.2</v>
      </c>
      <c r="F68" s="15">
        <v>2796</v>
      </c>
      <c r="G68" s="15">
        <v>1835</v>
      </c>
      <c r="H68" s="15"/>
      <c r="I68" s="15"/>
      <c r="J68" s="15">
        <v>1323</v>
      </c>
      <c r="K68" s="15"/>
      <c r="L68" s="38">
        <f t="shared" si="7"/>
        <v>41178.6</v>
      </c>
      <c r="M68" s="4">
        <v>6750</v>
      </c>
      <c r="N68" s="38">
        <f t="shared" si="8"/>
        <v>35113.199999999997</v>
      </c>
      <c r="O68" s="38">
        <f t="shared" si="9"/>
        <v>1323</v>
      </c>
      <c r="P68" s="4"/>
      <c r="Q68" s="38">
        <f t="shared" si="10"/>
        <v>9316.9999999999709</v>
      </c>
      <c r="R68" s="58"/>
      <c r="S68" s="6"/>
      <c r="U68" s="7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ht="18" x14ac:dyDescent="0.25">
      <c r="A69" s="36">
        <f t="shared" si="12"/>
        <v>46081</v>
      </c>
      <c r="B69" s="37" t="s">
        <v>21</v>
      </c>
      <c r="C69" s="38">
        <f t="shared" si="11"/>
        <v>9316.9999999999709</v>
      </c>
      <c r="D69" s="47">
        <v>-687.6</v>
      </c>
      <c r="E69" s="47">
        <v>16190</v>
      </c>
      <c r="F69" s="47">
        <v>2756</v>
      </c>
      <c r="G69" s="47">
        <v>357</v>
      </c>
      <c r="H69" s="47"/>
      <c r="I69" s="47"/>
      <c r="J69" s="47">
        <v>249</v>
      </c>
      <c r="K69" s="47"/>
      <c r="L69" s="38">
        <f t="shared" si="7"/>
        <v>18864.400000000001</v>
      </c>
      <c r="M69" s="48"/>
      <c r="N69" s="38">
        <f t="shared" si="8"/>
        <v>19303</v>
      </c>
      <c r="O69" s="38">
        <f t="shared" si="9"/>
        <v>249</v>
      </c>
      <c r="P69" s="48"/>
      <c r="Q69" s="38">
        <f t="shared" si="10"/>
        <v>8629.3999999999724</v>
      </c>
      <c r="R69" s="61"/>
      <c r="S69" s="6"/>
      <c r="U69" s="7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ht="18.75" thickBot="1" x14ac:dyDescent="0.3">
      <c r="A70" s="69"/>
      <c r="B70" s="70"/>
      <c r="C70" s="71">
        <f t="shared" si="11"/>
        <v>8629.3999999999724</v>
      </c>
      <c r="D70" s="72"/>
      <c r="E70" s="72"/>
      <c r="F70" s="72"/>
      <c r="G70" s="72"/>
      <c r="H70" s="72"/>
      <c r="I70" s="72"/>
      <c r="J70" s="72"/>
      <c r="K70" s="72"/>
      <c r="L70" s="71">
        <f t="shared" si="7"/>
        <v>0</v>
      </c>
      <c r="M70" s="73"/>
      <c r="N70" s="71">
        <f t="shared" si="8"/>
        <v>0</v>
      </c>
      <c r="O70" s="71">
        <f t="shared" si="9"/>
        <v>0</v>
      </c>
      <c r="P70" s="73"/>
      <c r="Q70" s="71">
        <f t="shared" si="10"/>
        <v>8629.3999999999724</v>
      </c>
      <c r="R70" s="67"/>
      <c r="S70" s="68"/>
      <c r="U70" s="7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ht="19.5" thickTop="1" thickBot="1" x14ac:dyDescent="0.3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1"/>
      <c r="U71" s="7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ht="19.5" thickTop="1" thickBot="1" x14ac:dyDescent="0.3">
      <c r="A72" s="84"/>
      <c r="B72" s="85"/>
      <c r="C72" s="86"/>
      <c r="D72" s="13">
        <f t="shared" ref="D72:P72" si="13">SUM(D39:D70)</f>
        <v>43352.400000000009</v>
      </c>
      <c r="E72" s="13">
        <f t="shared" si="13"/>
        <v>196776.1</v>
      </c>
      <c r="F72" s="13">
        <f t="shared" si="13"/>
        <v>37851.199999999997</v>
      </c>
      <c r="G72" s="13">
        <f t="shared" si="13"/>
        <v>11742.5</v>
      </c>
      <c r="H72" s="13">
        <f t="shared" si="13"/>
        <v>0</v>
      </c>
      <c r="I72" s="13">
        <f t="shared" si="13"/>
        <v>0</v>
      </c>
      <c r="J72" s="13">
        <f t="shared" si="13"/>
        <v>5495</v>
      </c>
      <c r="K72" s="13">
        <f t="shared" si="13"/>
        <v>0</v>
      </c>
      <c r="L72" s="38">
        <f t="shared" si="13"/>
        <v>295217.2</v>
      </c>
      <c r="M72" s="13">
        <f t="shared" si="13"/>
        <v>39500</v>
      </c>
      <c r="N72" s="38">
        <f t="shared" si="13"/>
        <v>246369.8</v>
      </c>
      <c r="O72" s="38">
        <f t="shared" si="13"/>
        <v>5495</v>
      </c>
      <c r="P72" s="13">
        <f t="shared" si="13"/>
        <v>0</v>
      </c>
      <c r="Q72" s="38">
        <f>C42+C72+L72+-M72-N72-O72-P72</f>
        <v>8629.3999999999651</v>
      </c>
      <c r="R72" s="63"/>
      <c r="S72" s="14"/>
      <c r="U72" s="7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ht="19.5" thickTop="1" thickBot="1" x14ac:dyDescent="0.3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1"/>
      <c r="U73" s="7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ht="20.25" customHeight="1" thickTop="1" thickBot="1" x14ac:dyDescent="0.3">
      <c r="A74" s="94" t="s">
        <v>0</v>
      </c>
      <c r="B74" s="96" t="s">
        <v>1</v>
      </c>
      <c r="C74" s="98" t="s">
        <v>2</v>
      </c>
      <c r="D74" s="80" t="s">
        <v>3</v>
      </c>
      <c r="E74" s="100" t="s">
        <v>4</v>
      </c>
      <c r="F74" s="101"/>
      <c r="G74" s="101"/>
      <c r="H74" s="101"/>
      <c r="I74" s="101"/>
      <c r="J74" s="101"/>
      <c r="K74" s="102"/>
      <c r="L74" s="80" t="s">
        <v>5</v>
      </c>
      <c r="M74" s="80" t="s">
        <v>6</v>
      </c>
      <c r="N74" s="80" t="s">
        <v>7</v>
      </c>
      <c r="O74" s="80" t="s">
        <v>8</v>
      </c>
      <c r="P74" s="80" t="s">
        <v>9</v>
      </c>
      <c r="Q74" s="82" t="s">
        <v>10</v>
      </c>
      <c r="R74" s="82" t="s">
        <v>34</v>
      </c>
      <c r="S74" s="82" t="s">
        <v>11</v>
      </c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ht="19.5" thickTop="1" thickBot="1" x14ac:dyDescent="0.3">
      <c r="A75" s="95"/>
      <c r="B75" s="97"/>
      <c r="C75" s="99"/>
      <c r="D75" s="81"/>
      <c r="E75" s="41" t="s">
        <v>12</v>
      </c>
      <c r="F75" s="42" t="s">
        <v>13</v>
      </c>
      <c r="G75" s="41" t="s">
        <v>14</v>
      </c>
      <c r="H75" s="41" t="s">
        <v>15</v>
      </c>
      <c r="I75" s="41" t="s">
        <v>45</v>
      </c>
      <c r="J75" s="42" t="s">
        <v>44</v>
      </c>
      <c r="K75" s="42" t="s">
        <v>46</v>
      </c>
      <c r="L75" s="81"/>
      <c r="M75" s="81"/>
      <c r="N75" s="81"/>
      <c r="O75" s="81"/>
      <c r="P75" s="81"/>
      <c r="Q75" s="83"/>
      <c r="R75" s="83"/>
      <c r="S75" s="83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ht="18.75" thickTop="1" x14ac:dyDescent="0.25">
      <c r="A76" s="36">
        <v>46082</v>
      </c>
      <c r="B76" s="37" t="s">
        <v>27</v>
      </c>
      <c r="C76" s="38">
        <f>SUM(Q72)</f>
        <v>8629.3999999999651</v>
      </c>
      <c r="D76" s="15">
        <v>2365</v>
      </c>
      <c r="E76" s="15">
        <v>16451.2</v>
      </c>
      <c r="F76" s="15">
        <v>2198</v>
      </c>
      <c r="G76" s="15">
        <v>1535</v>
      </c>
      <c r="H76" s="15"/>
      <c r="I76" s="15"/>
      <c r="J76" s="15"/>
      <c r="K76" s="15"/>
      <c r="L76" s="38">
        <f t="shared" ref="L76:L106" si="14">SUM(D76:K76)</f>
        <v>22549.200000000001</v>
      </c>
      <c r="M76" s="4"/>
      <c r="N76" s="38">
        <f t="shared" ref="N76:N106" si="15">SUM(E76+F76+G76+H76)</f>
        <v>20184.2</v>
      </c>
      <c r="O76" s="38">
        <f t="shared" ref="O76:O106" si="16">I76+K76+J76</f>
        <v>0</v>
      </c>
      <c r="P76" s="4"/>
      <c r="Q76" s="38">
        <f t="shared" ref="Q76:Q106" si="17">C76+L76+-M76-N76-O76-P76</f>
        <v>10994.399999999965</v>
      </c>
      <c r="R76" s="58"/>
      <c r="S76" s="6"/>
      <c r="U76" s="7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ht="18" x14ac:dyDescent="0.25">
      <c r="A77" s="36">
        <f>A76+1</f>
        <v>46083</v>
      </c>
      <c r="B77" s="37" t="s">
        <v>24</v>
      </c>
      <c r="C77" s="38">
        <f t="shared" ref="C77:C106" si="18">Q76</f>
        <v>10994.399999999965</v>
      </c>
      <c r="D77" s="15">
        <v>1165</v>
      </c>
      <c r="E77" s="15">
        <v>17250.2</v>
      </c>
      <c r="F77" s="15">
        <v>723</v>
      </c>
      <c r="G77" s="15">
        <v>261</v>
      </c>
      <c r="H77" s="15"/>
      <c r="I77" s="15"/>
      <c r="J77" s="15">
        <v>426</v>
      </c>
      <c r="K77" s="15"/>
      <c r="L77" s="38">
        <f t="shared" si="14"/>
        <v>19825.2</v>
      </c>
      <c r="M77" s="4">
        <v>4000</v>
      </c>
      <c r="N77" s="38">
        <f t="shared" si="15"/>
        <v>18234.2</v>
      </c>
      <c r="O77" s="38">
        <f t="shared" si="16"/>
        <v>426</v>
      </c>
      <c r="P77" s="4"/>
      <c r="Q77" s="38">
        <f t="shared" si="17"/>
        <v>8159.3999999999651</v>
      </c>
      <c r="R77" s="58"/>
      <c r="S77" s="6" t="s">
        <v>72</v>
      </c>
      <c r="U77" s="7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ht="18" x14ac:dyDescent="0.25">
      <c r="A78" s="36">
        <f t="shared" ref="A78:A106" si="19">A77+1</f>
        <v>46084</v>
      </c>
      <c r="B78" s="37" t="s">
        <v>17</v>
      </c>
      <c r="C78" s="38">
        <f t="shared" si="18"/>
        <v>8159.3999999999651</v>
      </c>
      <c r="D78" s="15">
        <v>2458.0100000000002</v>
      </c>
      <c r="E78" s="15">
        <v>18235.990000000002</v>
      </c>
      <c r="F78" s="15">
        <v>1308</v>
      </c>
      <c r="G78" s="15">
        <v>744</v>
      </c>
      <c r="H78" s="15"/>
      <c r="I78" s="15"/>
      <c r="J78" s="15"/>
      <c r="K78" s="15"/>
      <c r="L78" s="38">
        <f t="shared" si="14"/>
        <v>22746</v>
      </c>
      <c r="M78" s="4"/>
      <c r="N78" s="38">
        <f t="shared" si="15"/>
        <v>20287.990000000002</v>
      </c>
      <c r="O78" s="38">
        <f t="shared" si="16"/>
        <v>0</v>
      </c>
      <c r="P78" s="4"/>
      <c r="Q78" s="38">
        <f t="shared" si="17"/>
        <v>10617.409999999963</v>
      </c>
      <c r="R78" s="58"/>
      <c r="S78" s="6"/>
      <c r="U78" s="7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ht="18" x14ac:dyDescent="0.25">
      <c r="A79" s="36">
        <f t="shared" si="19"/>
        <v>46085</v>
      </c>
      <c r="B79" s="37" t="s">
        <v>25</v>
      </c>
      <c r="C79" s="38">
        <f t="shared" si="18"/>
        <v>10617.409999999963</v>
      </c>
      <c r="D79" s="15">
        <v>722</v>
      </c>
      <c r="E79" s="15">
        <v>16599</v>
      </c>
      <c r="F79" s="15">
        <v>1319</v>
      </c>
      <c r="G79" s="15">
        <v>1543</v>
      </c>
      <c r="H79" s="15"/>
      <c r="I79" s="15"/>
      <c r="J79" s="15">
        <v>548</v>
      </c>
      <c r="K79" s="15"/>
      <c r="L79" s="38">
        <f t="shared" si="14"/>
        <v>20731</v>
      </c>
      <c r="M79" s="4">
        <v>3550</v>
      </c>
      <c r="N79" s="38">
        <f t="shared" si="15"/>
        <v>19461</v>
      </c>
      <c r="O79" s="38">
        <f t="shared" si="16"/>
        <v>548</v>
      </c>
      <c r="P79" s="4"/>
      <c r="Q79" s="38">
        <f t="shared" si="17"/>
        <v>7789.4099999999635</v>
      </c>
      <c r="R79" s="58"/>
      <c r="S79" s="6" t="s">
        <v>73</v>
      </c>
      <c r="U79" s="7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ht="18" x14ac:dyDescent="0.25">
      <c r="A80" s="36">
        <f t="shared" si="19"/>
        <v>46086</v>
      </c>
      <c r="B80" s="37" t="s">
        <v>19</v>
      </c>
      <c r="C80" s="38">
        <f t="shared" si="18"/>
        <v>7789.4099999999635</v>
      </c>
      <c r="D80" s="15">
        <v>4450</v>
      </c>
      <c r="E80" s="15">
        <v>15500.2</v>
      </c>
      <c r="F80" s="15">
        <v>2123</v>
      </c>
      <c r="G80" s="15">
        <v>481</v>
      </c>
      <c r="H80" s="15"/>
      <c r="I80" s="15"/>
      <c r="J80" s="15">
        <v>2215</v>
      </c>
      <c r="K80" s="15"/>
      <c r="L80" s="38">
        <f t="shared" si="14"/>
        <v>24769.200000000001</v>
      </c>
      <c r="M80" s="4">
        <v>3700</v>
      </c>
      <c r="N80" s="38">
        <f t="shared" si="15"/>
        <v>18104.2</v>
      </c>
      <c r="O80" s="38">
        <f t="shared" si="16"/>
        <v>2215</v>
      </c>
      <c r="P80" s="4"/>
      <c r="Q80" s="38">
        <f t="shared" si="17"/>
        <v>8539.4099999999635</v>
      </c>
      <c r="R80" s="58"/>
      <c r="S80" s="6" t="s">
        <v>74</v>
      </c>
      <c r="U80" s="7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ht="18" x14ac:dyDescent="0.25">
      <c r="A81" s="36">
        <f t="shared" si="19"/>
        <v>46087</v>
      </c>
      <c r="B81" s="37" t="s">
        <v>26</v>
      </c>
      <c r="C81" s="38">
        <f t="shared" si="18"/>
        <v>8539.4099999999635</v>
      </c>
      <c r="D81" s="15">
        <v>4461.2</v>
      </c>
      <c r="E81" s="15">
        <v>18973</v>
      </c>
      <c r="F81" s="15">
        <v>932</v>
      </c>
      <c r="G81" s="15">
        <v>126</v>
      </c>
      <c r="H81" s="15"/>
      <c r="I81" s="15"/>
      <c r="J81" s="15">
        <v>1646</v>
      </c>
      <c r="K81" s="15"/>
      <c r="L81" s="38">
        <f t="shared" si="14"/>
        <v>26138.2</v>
      </c>
      <c r="M81" s="4"/>
      <c r="N81" s="38">
        <f t="shared" si="15"/>
        <v>20031</v>
      </c>
      <c r="O81" s="38">
        <f t="shared" si="16"/>
        <v>1646</v>
      </c>
      <c r="P81" s="4"/>
      <c r="Q81" s="38">
        <f t="shared" si="17"/>
        <v>13000.609999999964</v>
      </c>
      <c r="R81" s="58"/>
      <c r="S81" s="6"/>
      <c r="U81" s="7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ht="18" x14ac:dyDescent="0.25">
      <c r="A82" s="36">
        <f t="shared" si="19"/>
        <v>46088</v>
      </c>
      <c r="B82" s="37" t="s">
        <v>21</v>
      </c>
      <c r="C82" s="38">
        <f t="shared" si="18"/>
        <v>13000.609999999964</v>
      </c>
      <c r="D82" s="15">
        <v>3271.8</v>
      </c>
      <c r="E82" s="15">
        <v>16775.2</v>
      </c>
      <c r="F82" s="15">
        <v>2037</v>
      </c>
      <c r="G82" s="15">
        <v>2866</v>
      </c>
      <c r="H82" s="15"/>
      <c r="I82" s="15"/>
      <c r="J82" s="15"/>
      <c r="K82" s="15"/>
      <c r="L82" s="38">
        <f t="shared" si="14"/>
        <v>24950</v>
      </c>
      <c r="M82" s="4">
        <v>8100</v>
      </c>
      <c r="N82" s="38">
        <f t="shared" si="15"/>
        <v>21678.2</v>
      </c>
      <c r="O82" s="38">
        <f t="shared" si="16"/>
        <v>0</v>
      </c>
      <c r="P82" s="4"/>
      <c r="Q82" s="38">
        <f t="shared" si="17"/>
        <v>8172.4099999999635</v>
      </c>
      <c r="R82" s="58"/>
      <c r="S82" s="6" t="s">
        <v>75</v>
      </c>
      <c r="U82" s="7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ht="18" x14ac:dyDescent="0.25">
      <c r="A83" s="36">
        <f t="shared" si="19"/>
        <v>46089</v>
      </c>
      <c r="B83" s="37" t="s">
        <v>27</v>
      </c>
      <c r="C83" s="38">
        <f t="shared" si="18"/>
        <v>8172.4099999999635</v>
      </c>
      <c r="D83" s="15">
        <v>2627</v>
      </c>
      <c r="E83" s="15">
        <v>15378.2</v>
      </c>
      <c r="F83" s="15">
        <v>2692.4</v>
      </c>
      <c r="G83" s="15">
        <v>499</v>
      </c>
      <c r="H83" s="15"/>
      <c r="I83" s="15"/>
      <c r="J83" s="15">
        <v>1777</v>
      </c>
      <c r="K83" s="15"/>
      <c r="L83" s="38">
        <f t="shared" si="14"/>
        <v>22973.600000000002</v>
      </c>
      <c r="M83" s="4"/>
      <c r="N83" s="38">
        <f t="shared" si="15"/>
        <v>18569.600000000002</v>
      </c>
      <c r="O83" s="38">
        <f t="shared" si="16"/>
        <v>1777</v>
      </c>
      <c r="P83" s="4"/>
      <c r="Q83" s="38">
        <f t="shared" si="17"/>
        <v>10799.409999999963</v>
      </c>
      <c r="R83" s="58"/>
      <c r="S83" s="6"/>
      <c r="U83" s="7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ht="18" x14ac:dyDescent="0.25">
      <c r="A84" s="36">
        <f t="shared" si="19"/>
        <v>46090</v>
      </c>
      <c r="B84" s="37" t="s">
        <v>24</v>
      </c>
      <c r="C84" s="38">
        <f t="shared" si="18"/>
        <v>10799.409999999963</v>
      </c>
      <c r="D84" s="15">
        <v>3302</v>
      </c>
      <c r="E84" s="15">
        <v>25147.599999999999</v>
      </c>
      <c r="F84" s="15">
        <v>1541</v>
      </c>
      <c r="G84" s="15">
        <v>205</v>
      </c>
      <c r="H84" s="15"/>
      <c r="I84" s="15"/>
      <c r="J84" s="15">
        <v>1307</v>
      </c>
      <c r="K84" s="15"/>
      <c r="L84" s="38">
        <f t="shared" si="14"/>
        <v>31502.6</v>
      </c>
      <c r="M84" s="4">
        <v>6300</v>
      </c>
      <c r="N84" s="38">
        <f t="shared" si="15"/>
        <v>26893.599999999999</v>
      </c>
      <c r="O84" s="38">
        <f t="shared" si="16"/>
        <v>1307</v>
      </c>
      <c r="P84" s="4"/>
      <c r="Q84" s="38">
        <f t="shared" si="17"/>
        <v>7801.4099999999671</v>
      </c>
      <c r="R84" s="58"/>
      <c r="S84" s="6" t="s">
        <v>76</v>
      </c>
      <c r="U84" s="7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ht="18" x14ac:dyDescent="0.25">
      <c r="A85" s="36">
        <f t="shared" si="19"/>
        <v>46091</v>
      </c>
      <c r="B85" s="37" t="s">
        <v>17</v>
      </c>
      <c r="C85" s="38">
        <f t="shared" si="18"/>
        <v>7801.4099999999671</v>
      </c>
      <c r="D85" s="15">
        <v>1498.2</v>
      </c>
      <c r="E85" s="15">
        <v>27555.599999999999</v>
      </c>
      <c r="F85" s="15">
        <v>8493</v>
      </c>
      <c r="G85" s="15">
        <v>1221</v>
      </c>
      <c r="H85" s="15"/>
      <c r="I85" s="15"/>
      <c r="J85" s="15">
        <v>2309</v>
      </c>
      <c r="K85" s="15"/>
      <c r="L85" s="38">
        <f t="shared" si="14"/>
        <v>41076.800000000003</v>
      </c>
      <c r="M85" s="4"/>
      <c r="N85" s="38">
        <f t="shared" si="15"/>
        <v>37269.599999999999</v>
      </c>
      <c r="O85" s="38">
        <f t="shared" si="16"/>
        <v>2309</v>
      </c>
      <c r="P85" s="4"/>
      <c r="Q85" s="38">
        <f t="shared" si="17"/>
        <v>9299.6099999999715</v>
      </c>
      <c r="R85" s="58"/>
      <c r="S85" s="6"/>
      <c r="U85" s="7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ht="18" x14ac:dyDescent="0.25">
      <c r="A86" s="36">
        <f t="shared" si="19"/>
        <v>46092</v>
      </c>
      <c r="B86" s="37" t="s">
        <v>25</v>
      </c>
      <c r="C86" s="38">
        <f t="shared" si="18"/>
        <v>9299.6099999999715</v>
      </c>
      <c r="D86" s="15">
        <v>1319.4</v>
      </c>
      <c r="E86" s="15">
        <v>18719.8</v>
      </c>
      <c r="F86" s="15">
        <v>3898</v>
      </c>
      <c r="G86" s="15">
        <v>938</v>
      </c>
      <c r="H86" s="15"/>
      <c r="I86" s="15"/>
      <c r="J86" s="15">
        <v>853</v>
      </c>
      <c r="K86" s="15"/>
      <c r="L86" s="38">
        <f t="shared" si="14"/>
        <v>25728.2</v>
      </c>
      <c r="M86" s="4"/>
      <c r="N86" s="38">
        <f t="shared" si="15"/>
        <v>23555.8</v>
      </c>
      <c r="O86" s="38">
        <f t="shared" si="16"/>
        <v>853</v>
      </c>
      <c r="P86" s="4"/>
      <c r="Q86" s="38">
        <f t="shared" si="17"/>
        <v>10619.009999999969</v>
      </c>
      <c r="R86" s="58"/>
      <c r="S86" s="6"/>
      <c r="U86" s="7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ht="18" x14ac:dyDescent="0.25">
      <c r="A87" s="36">
        <f t="shared" si="19"/>
        <v>46093</v>
      </c>
      <c r="B87" s="37" t="s">
        <v>19</v>
      </c>
      <c r="C87" s="38">
        <f t="shared" si="18"/>
        <v>10619.009999999969</v>
      </c>
      <c r="D87" s="15">
        <v>4956.3999999999996</v>
      </c>
      <c r="E87" s="15">
        <v>26132.799999999999</v>
      </c>
      <c r="F87" s="15">
        <v>2013</v>
      </c>
      <c r="G87" s="15">
        <v>231</v>
      </c>
      <c r="H87" s="15"/>
      <c r="I87" s="15"/>
      <c r="J87" s="15">
        <v>1205</v>
      </c>
      <c r="K87" s="15"/>
      <c r="L87" s="38">
        <f t="shared" si="14"/>
        <v>34538.199999999997</v>
      </c>
      <c r="M87" s="4"/>
      <c r="N87" s="38">
        <f t="shared" si="15"/>
        <v>28376.799999999999</v>
      </c>
      <c r="O87" s="38">
        <f t="shared" si="16"/>
        <v>1205</v>
      </c>
      <c r="P87" s="4"/>
      <c r="Q87" s="38">
        <f t="shared" si="17"/>
        <v>15575.409999999963</v>
      </c>
      <c r="R87" s="58"/>
      <c r="S87" s="6"/>
      <c r="U87" s="7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ht="18" x14ac:dyDescent="0.25">
      <c r="A88" s="36">
        <f t="shared" si="19"/>
        <v>46094</v>
      </c>
      <c r="B88" s="37" t="s">
        <v>26</v>
      </c>
      <c r="C88" s="38">
        <f t="shared" si="18"/>
        <v>15575.409999999963</v>
      </c>
      <c r="D88" s="15">
        <v>5096</v>
      </c>
      <c r="E88" s="15">
        <v>25700.799999999999</v>
      </c>
      <c r="F88" s="15">
        <v>5800</v>
      </c>
      <c r="G88" s="15">
        <v>3173</v>
      </c>
      <c r="H88" s="15"/>
      <c r="I88" s="15"/>
      <c r="J88" s="15">
        <v>596</v>
      </c>
      <c r="K88" s="15"/>
      <c r="L88" s="38">
        <f t="shared" si="14"/>
        <v>40365.800000000003</v>
      </c>
      <c r="M88" s="4">
        <v>9100</v>
      </c>
      <c r="N88" s="38">
        <f t="shared" si="15"/>
        <v>34673.800000000003</v>
      </c>
      <c r="O88" s="38">
        <f t="shared" si="16"/>
        <v>596</v>
      </c>
      <c r="P88" s="4"/>
      <c r="Q88" s="38">
        <f t="shared" si="17"/>
        <v>11571.40999999996</v>
      </c>
      <c r="R88" s="58"/>
      <c r="S88" s="6" t="s">
        <v>77</v>
      </c>
      <c r="U88" s="7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ht="18" x14ac:dyDescent="0.25">
      <c r="A89" s="36">
        <f t="shared" si="19"/>
        <v>46095</v>
      </c>
      <c r="B89" s="37" t="s">
        <v>21</v>
      </c>
      <c r="C89" s="38">
        <f t="shared" si="18"/>
        <v>11571.40999999996</v>
      </c>
      <c r="D89" s="15">
        <v>5891</v>
      </c>
      <c r="E89" s="15">
        <v>18587</v>
      </c>
      <c r="F89" s="15">
        <v>3903</v>
      </c>
      <c r="G89" s="15">
        <v>1086</v>
      </c>
      <c r="H89" s="15"/>
      <c r="I89" s="15"/>
      <c r="J89" s="15">
        <v>1819</v>
      </c>
      <c r="K89" s="15"/>
      <c r="L89" s="38">
        <f t="shared" si="14"/>
        <v>31286</v>
      </c>
      <c r="M89" s="4"/>
      <c r="N89" s="38">
        <f t="shared" si="15"/>
        <v>23576</v>
      </c>
      <c r="O89" s="38">
        <f t="shared" si="16"/>
        <v>1819</v>
      </c>
      <c r="P89" s="4">
        <v>2118</v>
      </c>
      <c r="Q89" s="38">
        <f t="shared" si="17"/>
        <v>15344.40999999996</v>
      </c>
      <c r="R89" s="58"/>
      <c r="S89" s="6" t="s">
        <v>78</v>
      </c>
      <c r="U89" s="7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ht="18" x14ac:dyDescent="0.25">
      <c r="A90" s="36">
        <f t="shared" si="19"/>
        <v>46096</v>
      </c>
      <c r="B90" s="37" t="s">
        <v>27</v>
      </c>
      <c r="C90" s="38">
        <f t="shared" si="18"/>
        <v>15344.40999999996</v>
      </c>
      <c r="D90" s="15">
        <v>5003</v>
      </c>
      <c r="E90" s="15">
        <v>23346</v>
      </c>
      <c r="F90" s="15">
        <v>3076</v>
      </c>
      <c r="G90" s="15"/>
      <c r="H90" s="15"/>
      <c r="I90" s="15"/>
      <c r="J90" s="15">
        <v>1807</v>
      </c>
      <c r="K90" s="15"/>
      <c r="L90" s="38">
        <f t="shared" si="14"/>
        <v>33232</v>
      </c>
      <c r="M90" s="4">
        <v>10000</v>
      </c>
      <c r="N90" s="38">
        <f t="shared" si="15"/>
        <v>26422</v>
      </c>
      <c r="O90" s="38">
        <f t="shared" si="16"/>
        <v>1807</v>
      </c>
      <c r="P90" s="4"/>
      <c r="Q90" s="38">
        <f t="shared" si="17"/>
        <v>10347.40999999996</v>
      </c>
      <c r="R90" s="58"/>
      <c r="S90" s="6" t="s">
        <v>79</v>
      </c>
      <c r="U90" s="7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ht="18" x14ac:dyDescent="0.25">
      <c r="A91" s="36">
        <f t="shared" si="19"/>
        <v>46097</v>
      </c>
      <c r="B91" s="37" t="s">
        <v>24</v>
      </c>
      <c r="C91" s="38">
        <f t="shared" si="18"/>
        <v>10347.40999999996</v>
      </c>
      <c r="D91" s="15">
        <v>8117</v>
      </c>
      <c r="E91" s="15">
        <v>24785</v>
      </c>
      <c r="F91" s="15">
        <v>7722</v>
      </c>
      <c r="G91" s="15">
        <v>1407</v>
      </c>
      <c r="H91" s="15"/>
      <c r="I91" s="15"/>
      <c r="J91" s="15">
        <v>1425</v>
      </c>
      <c r="K91" s="15"/>
      <c r="L91" s="38">
        <f t="shared" si="14"/>
        <v>43456</v>
      </c>
      <c r="M91" s="4">
        <v>8500</v>
      </c>
      <c r="N91" s="38">
        <f t="shared" si="15"/>
        <v>33914</v>
      </c>
      <c r="O91" s="38">
        <f t="shared" si="16"/>
        <v>1425</v>
      </c>
      <c r="P91" s="4"/>
      <c r="Q91" s="38">
        <f t="shared" si="17"/>
        <v>9964.4099999999598</v>
      </c>
      <c r="R91" s="58"/>
      <c r="S91" s="6" t="s">
        <v>80</v>
      </c>
      <c r="U91" s="7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ht="18" x14ac:dyDescent="0.25">
      <c r="A92" s="36">
        <f t="shared" si="19"/>
        <v>46098</v>
      </c>
      <c r="B92" s="37" t="s">
        <v>17</v>
      </c>
      <c r="C92" s="38">
        <f t="shared" si="18"/>
        <v>9964.4099999999598</v>
      </c>
      <c r="D92" s="15">
        <v>719.65</v>
      </c>
      <c r="E92" s="15">
        <v>28445</v>
      </c>
      <c r="F92" s="15">
        <v>4915</v>
      </c>
      <c r="G92" s="15">
        <v>1491</v>
      </c>
      <c r="H92" s="15"/>
      <c r="I92" s="15"/>
      <c r="J92" s="15">
        <v>2226</v>
      </c>
      <c r="K92" s="15"/>
      <c r="L92" s="38">
        <f t="shared" si="14"/>
        <v>37796.65</v>
      </c>
      <c r="M92" s="4"/>
      <c r="N92" s="38">
        <f t="shared" si="15"/>
        <v>34851</v>
      </c>
      <c r="O92" s="38">
        <f t="shared" si="16"/>
        <v>2226</v>
      </c>
      <c r="P92" s="4"/>
      <c r="Q92" s="38">
        <f t="shared" si="17"/>
        <v>10684.059999999961</v>
      </c>
      <c r="R92" s="58"/>
      <c r="S92" s="6"/>
      <c r="U92" s="7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ht="18" x14ac:dyDescent="0.25">
      <c r="A93" s="36">
        <f t="shared" si="19"/>
        <v>46099</v>
      </c>
      <c r="B93" s="37" t="s">
        <v>25</v>
      </c>
      <c r="C93" s="38">
        <f t="shared" si="18"/>
        <v>10684.059999999961</v>
      </c>
      <c r="D93" s="15">
        <v>6418</v>
      </c>
      <c r="E93" s="15">
        <v>25885</v>
      </c>
      <c r="F93" s="15">
        <v>4576</v>
      </c>
      <c r="G93" s="15">
        <v>867</v>
      </c>
      <c r="H93" s="15"/>
      <c r="I93" s="15"/>
      <c r="J93" s="15">
        <v>249</v>
      </c>
      <c r="K93" s="15"/>
      <c r="L93" s="38">
        <f t="shared" si="14"/>
        <v>37995</v>
      </c>
      <c r="M93" s="4"/>
      <c r="N93" s="38">
        <f t="shared" si="15"/>
        <v>31328</v>
      </c>
      <c r="O93" s="38">
        <f t="shared" si="16"/>
        <v>249</v>
      </c>
      <c r="P93" s="4"/>
      <c r="Q93" s="38">
        <f t="shared" si="17"/>
        <v>17102.059999999961</v>
      </c>
      <c r="R93" s="58"/>
      <c r="S93" s="6"/>
      <c r="U93" s="7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ht="18" x14ac:dyDescent="0.25">
      <c r="A94" s="36">
        <f t="shared" si="19"/>
        <v>46100</v>
      </c>
      <c r="B94" s="37" t="s">
        <v>19</v>
      </c>
      <c r="C94" s="38">
        <f t="shared" si="18"/>
        <v>17102.059999999961</v>
      </c>
      <c r="D94" s="15">
        <v>11536</v>
      </c>
      <c r="E94" s="15">
        <v>30065</v>
      </c>
      <c r="F94" s="15">
        <v>3663</v>
      </c>
      <c r="G94" s="15">
        <v>1129</v>
      </c>
      <c r="H94" s="15"/>
      <c r="I94" s="15"/>
      <c r="J94" s="15">
        <v>523</v>
      </c>
      <c r="K94" s="15"/>
      <c r="L94" s="38">
        <f t="shared" si="14"/>
        <v>46916</v>
      </c>
      <c r="M94" s="4">
        <v>23000</v>
      </c>
      <c r="N94" s="38">
        <f t="shared" si="15"/>
        <v>34857</v>
      </c>
      <c r="O94" s="38">
        <f t="shared" si="16"/>
        <v>523</v>
      </c>
      <c r="P94" s="4"/>
      <c r="Q94" s="38">
        <f t="shared" si="17"/>
        <v>5638.0599999999613</v>
      </c>
      <c r="R94" s="58"/>
      <c r="S94" s="6" t="s">
        <v>81</v>
      </c>
      <c r="U94" s="7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ht="18" x14ac:dyDescent="0.25">
      <c r="A95" s="36">
        <f t="shared" si="19"/>
        <v>46101</v>
      </c>
      <c r="B95" s="37" t="s">
        <v>26</v>
      </c>
      <c r="C95" s="38">
        <f t="shared" si="18"/>
        <v>5638.0599999999613</v>
      </c>
      <c r="D95" s="15">
        <v>212</v>
      </c>
      <c r="E95" s="15">
        <v>1820</v>
      </c>
      <c r="F95" s="15">
        <v>730</v>
      </c>
      <c r="G95" s="15">
        <v>55</v>
      </c>
      <c r="H95" s="15"/>
      <c r="I95" s="15"/>
      <c r="J95" s="15">
        <v>249</v>
      </c>
      <c r="K95" s="15"/>
      <c r="L95" s="38">
        <f t="shared" si="14"/>
        <v>3066</v>
      </c>
      <c r="M95" s="4"/>
      <c r="N95" s="38">
        <f t="shared" si="15"/>
        <v>2605</v>
      </c>
      <c r="O95" s="38">
        <f t="shared" si="16"/>
        <v>249</v>
      </c>
      <c r="P95" s="4"/>
      <c r="Q95" s="38">
        <f t="shared" si="17"/>
        <v>5850.0599999999613</v>
      </c>
      <c r="R95" s="58"/>
      <c r="S95" s="6"/>
      <c r="U95" s="7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ht="18" x14ac:dyDescent="0.25">
      <c r="A96" s="36">
        <f t="shared" si="19"/>
        <v>46102</v>
      </c>
      <c r="B96" s="37" t="s">
        <v>21</v>
      </c>
      <c r="C96" s="38">
        <f t="shared" si="18"/>
        <v>5850.0599999999613</v>
      </c>
      <c r="D96" s="15">
        <v>686</v>
      </c>
      <c r="E96" s="15">
        <v>2364</v>
      </c>
      <c r="F96" s="15">
        <v>489</v>
      </c>
      <c r="G96" s="15">
        <v>662</v>
      </c>
      <c r="H96" s="15"/>
      <c r="I96" s="15"/>
      <c r="J96" s="15"/>
      <c r="K96" s="15"/>
      <c r="L96" s="38">
        <f t="shared" si="14"/>
        <v>4201</v>
      </c>
      <c r="M96" s="4"/>
      <c r="N96" s="38">
        <f t="shared" si="15"/>
        <v>3515</v>
      </c>
      <c r="O96" s="38">
        <f t="shared" si="16"/>
        <v>0</v>
      </c>
      <c r="P96" s="4"/>
      <c r="Q96" s="38">
        <f t="shared" si="17"/>
        <v>6536.0599999999613</v>
      </c>
      <c r="R96" s="58"/>
      <c r="S96" s="6"/>
      <c r="U96" s="7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ht="18" x14ac:dyDescent="0.25">
      <c r="A97" s="36">
        <f t="shared" si="19"/>
        <v>46103</v>
      </c>
      <c r="B97" s="37" t="s">
        <v>27</v>
      </c>
      <c r="C97" s="38">
        <f t="shared" si="18"/>
        <v>6536.0599999999613</v>
      </c>
      <c r="D97" s="15">
        <v>1069</v>
      </c>
      <c r="E97" s="15">
        <v>694</v>
      </c>
      <c r="F97" s="15">
        <v>408</v>
      </c>
      <c r="G97" s="15">
        <v>234</v>
      </c>
      <c r="H97" s="15"/>
      <c r="I97" s="15"/>
      <c r="J97" s="15"/>
      <c r="K97" s="15"/>
      <c r="L97" s="38">
        <f t="shared" si="14"/>
        <v>2405</v>
      </c>
      <c r="M97" s="4"/>
      <c r="N97" s="38">
        <f t="shared" si="15"/>
        <v>1336</v>
      </c>
      <c r="O97" s="38">
        <f t="shared" si="16"/>
        <v>0</v>
      </c>
      <c r="P97" s="4"/>
      <c r="Q97" s="38">
        <f t="shared" si="17"/>
        <v>7605.0599999999613</v>
      </c>
      <c r="R97" s="58"/>
      <c r="S97" s="6"/>
      <c r="U97" s="7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ht="18" x14ac:dyDescent="0.25">
      <c r="A98" s="36">
        <f t="shared" si="19"/>
        <v>46104</v>
      </c>
      <c r="B98" s="37" t="s">
        <v>24</v>
      </c>
      <c r="C98" s="38">
        <f t="shared" si="18"/>
        <v>7605.0599999999613</v>
      </c>
      <c r="D98" s="15">
        <v>-43</v>
      </c>
      <c r="E98" s="15">
        <v>362</v>
      </c>
      <c r="F98" s="15">
        <v>953</v>
      </c>
      <c r="G98" s="15">
        <v>1259</v>
      </c>
      <c r="H98" s="15"/>
      <c r="I98" s="15"/>
      <c r="J98" s="15"/>
      <c r="K98" s="15"/>
      <c r="L98" s="38">
        <f t="shared" si="14"/>
        <v>2531</v>
      </c>
      <c r="M98" s="4">
        <v>5100</v>
      </c>
      <c r="N98" s="38">
        <f t="shared" si="15"/>
        <v>2574</v>
      </c>
      <c r="O98" s="38">
        <f t="shared" si="16"/>
        <v>0</v>
      </c>
      <c r="P98" s="4"/>
      <c r="Q98" s="38">
        <f t="shared" si="17"/>
        <v>2462.0599999999613</v>
      </c>
      <c r="R98" s="58"/>
      <c r="S98" s="6" t="s">
        <v>82</v>
      </c>
      <c r="U98" s="7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ht="18" x14ac:dyDescent="0.25">
      <c r="A99" s="36">
        <f t="shared" si="19"/>
        <v>46105</v>
      </c>
      <c r="B99" s="37" t="s">
        <v>17</v>
      </c>
      <c r="C99" s="38">
        <f t="shared" si="18"/>
        <v>2462.0599999999613</v>
      </c>
      <c r="D99" s="15">
        <v>-81</v>
      </c>
      <c r="E99" s="15">
        <v>1297</v>
      </c>
      <c r="F99" s="15">
        <v>86</v>
      </c>
      <c r="G99" s="15"/>
      <c r="H99" s="15"/>
      <c r="I99" s="15"/>
      <c r="J99" s="15"/>
      <c r="K99" s="15"/>
      <c r="L99" s="38">
        <f t="shared" si="14"/>
        <v>1302</v>
      </c>
      <c r="M99" s="4"/>
      <c r="N99" s="38">
        <f t="shared" si="15"/>
        <v>1383</v>
      </c>
      <c r="O99" s="38">
        <f t="shared" si="16"/>
        <v>0</v>
      </c>
      <c r="P99" s="4"/>
      <c r="Q99" s="38">
        <f t="shared" si="17"/>
        <v>2381.0599999999613</v>
      </c>
      <c r="R99" s="58"/>
      <c r="S99" s="6"/>
      <c r="U99" s="7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ht="18" x14ac:dyDescent="0.25">
      <c r="A100" s="36">
        <f t="shared" si="19"/>
        <v>46106</v>
      </c>
      <c r="B100" s="37" t="s">
        <v>25</v>
      </c>
      <c r="C100" s="38">
        <f t="shared" si="18"/>
        <v>2381.0599999999613</v>
      </c>
      <c r="D100" s="15">
        <v>287</v>
      </c>
      <c r="E100" s="15">
        <v>2640</v>
      </c>
      <c r="F100" s="15"/>
      <c r="G100" s="15">
        <v>110</v>
      </c>
      <c r="H100" s="15"/>
      <c r="I100" s="15"/>
      <c r="J100" s="15"/>
      <c r="K100" s="15"/>
      <c r="L100" s="38">
        <f t="shared" si="14"/>
        <v>3037</v>
      </c>
      <c r="M100" s="4"/>
      <c r="N100" s="38">
        <f t="shared" si="15"/>
        <v>2750</v>
      </c>
      <c r="O100" s="38">
        <f t="shared" si="16"/>
        <v>0</v>
      </c>
      <c r="P100" s="4"/>
      <c r="Q100" s="38">
        <f t="shared" si="17"/>
        <v>2668.0599999999613</v>
      </c>
      <c r="R100" s="58"/>
      <c r="S100" s="6"/>
      <c r="U100" s="7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ht="18" x14ac:dyDescent="0.25">
      <c r="A101" s="36">
        <f t="shared" si="19"/>
        <v>46107</v>
      </c>
      <c r="B101" s="37" t="s">
        <v>19</v>
      </c>
      <c r="C101" s="38">
        <f t="shared" si="18"/>
        <v>2668.0599999999613</v>
      </c>
      <c r="D101" s="15">
        <v>-210</v>
      </c>
      <c r="E101" s="15">
        <v>2342</v>
      </c>
      <c r="F101" s="15">
        <v>17</v>
      </c>
      <c r="G101" s="15">
        <v>171</v>
      </c>
      <c r="H101" s="15"/>
      <c r="I101" s="15"/>
      <c r="J101" s="15"/>
      <c r="K101" s="15"/>
      <c r="L101" s="38">
        <f t="shared" si="14"/>
        <v>2320</v>
      </c>
      <c r="M101" s="4"/>
      <c r="N101" s="38">
        <f t="shared" si="15"/>
        <v>2530</v>
      </c>
      <c r="O101" s="38">
        <f t="shared" si="16"/>
        <v>0</v>
      </c>
      <c r="P101" s="4"/>
      <c r="Q101" s="38">
        <f t="shared" si="17"/>
        <v>2458.0599999999613</v>
      </c>
      <c r="R101" s="58"/>
      <c r="S101" s="6"/>
      <c r="U101" s="7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ht="18" x14ac:dyDescent="0.25">
      <c r="A102" s="36">
        <f t="shared" si="19"/>
        <v>46108</v>
      </c>
      <c r="B102" s="37" t="s">
        <v>26</v>
      </c>
      <c r="C102" s="38">
        <f t="shared" si="18"/>
        <v>2458.0599999999613</v>
      </c>
      <c r="D102" s="15">
        <v>430</v>
      </c>
      <c r="E102" s="15">
        <v>2856</v>
      </c>
      <c r="F102" s="15">
        <v>95</v>
      </c>
      <c r="G102" s="15"/>
      <c r="H102" s="15"/>
      <c r="I102" s="15"/>
      <c r="J102" s="15"/>
      <c r="K102" s="15"/>
      <c r="L102" s="38">
        <f t="shared" si="14"/>
        <v>3381</v>
      </c>
      <c r="M102" s="4"/>
      <c r="N102" s="38">
        <f t="shared" si="15"/>
        <v>2951</v>
      </c>
      <c r="O102" s="38">
        <f t="shared" si="16"/>
        <v>0</v>
      </c>
      <c r="P102" s="4"/>
      <c r="Q102" s="38">
        <f t="shared" si="17"/>
        <v>2888.0599999999613</v>
      </c>
      <c r="R102" s="58"/>
      <c r="S102" s="6"/>
      <c r="U102" s="7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ht="18" x14ac:dyDescent="0.25">
      <c r="A103" s="36">
        <f t="shared" si="19"/>
        <v>46109</v>
      </c>
      <c r="B103" s="37" t="s">
        <v>21</v>
      </c>
      <c r="C103" s="38">
        <f t="shared" si="18"/>
        <v>2888.0599999999613</v>
      </c>
      <c r="D103" s="15">
        <v>494</v>
      </c>
      <c r="E103" s="15">
        <v>2913</v>
      </c>
      <c r="F103" s="15">
        <v>384</v>
      </c>
      <c r="G103" s="15">
        <v>122</v>
      </c>
      <c r="H103" s="15"/>
      <c r="I103" s="15"/>
      <c r="J103" s="15"/>
      <c r="K103" s="15"/>
      <c r="L103" s="38">
        <f t="shared" si="14"/>
        <v>3913</v>
      </c>
      <c r="M103" s="4"/>
      <c r="N103" s="38">
        <f t="shared" si="15"/>
        <v>3419</v>
      </c>
      <c r="O103" s="38">
        <f t="shared" si="16"/>
        <v>0</v>
      </c>
      <c r="P103" s="4"/>
      <c r="Q103" s="38">
        <f t="shared" si="17"/>
        <v>3382.0599999999613</v>
      </c>
      <c r="R103" s="58"/>
      <c r="S103" s="6"/>
      <c r="U103" s="7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ht="18" x14ac:dyDescent="0.25">
      <c r="A104" s="36">
        <f t="shared" si="19"/>
        <v>46110</v>
      </c>
      <c r="B104" s="37" t="s">
        <v>27</v>
      </c>
      <c r="C104" s="38">
        <f t="shared" si="18"/>
        <v>3382.0599999999613</v>
      </c>
      <c r="D104" s="15">
        <v>317</v>
      </c>
      <c r="E104" s="15">
        <v>2108</v>
      </c>
      <c r="F104" s="15">
        <v>17</v>
      </c>
      <c r="G104" s="15"/>
      <c r="H104" s="15"/>
      <c r="I104" s="15"/>
      <c r="J104" s="15"/>
      <c r="K104" s="15"/>
      <c r="L104" s="38">
        <f t="shared" si="14"/>
        <v>2442</v>
      </c>
      <c r="M104" s="4"/>
      <c r="N104" s="38">
        <f t="shared" si="15"/>
        <v>2125</v>
      </c>
      <c r="O104" s="38">
        <f t="shared" si="16"/>
        <v>0</v>
      </c>
      <c r="P104" s="4"/>
      <c r="Q104" s="38">
        <f t="shared" si="17"/>
        <v>3699.0599999999613</v>
      </c>
      <c r="R104" s="58"/>
      <c r="S104" s="6"/>
      <c r="U104" s="7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ht="18" x14ac:dyDescent="0.25">
      <c r="A105" s="36">
        <f t="shared" si="19"/>
        <v>46111</v>
      </c>
      <c r="B105" s="37" t="s">
        <v>24</v>
      </c>
      <c r="C105" s="38">
        <f t="shared" si="18"/>
        <v>3699.0599999999613</v>
      </c>
      <c r="D105" s="15">
        <v>125</v>
      </c>
      <c r="E105" s="15">
        <v>1282</v>
      </c>
      <c r="F105" s="15">
        <v>342</v>
      </c>
      <c r="G105" s="15"/>
      <c r="H105" s="15"/>
      <c r="I105" s="15"/>
      <c r="J105" s="15"/>
      <c r="K105" s="15"/>
      <c r="L105" s="38">
        <f t="shared" si="14"/>
        <v>1749</v>
      </c>
      <c r="M105" s="4"/>
      <c r="N105" s="38">
        <f t="shared" si="15"/>
        <v>1624</v>
      </c>
      <c r="O105" s="38">
        <f t="shared" si="16"/>
        <v>0</v>
      </c>
      <c r="P105" s="4"/>
      <c r="Q105" s="38">
        <f t="shared" si="17"/>
        <v>3824.0599999999613</v>
      </c>
      <c r="R105" s="58"/>
      <c r="S105" s="6"/>
      <c r="U105" s="7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ht="18.75" thickBot="1" x14ac:dyDescent="0.3">
      <c r="A106" s="49">
        <f t="shared" si="19"/>
        <v>46112</v>
      </c>
      <c r="B106" s="75" t="s">
        <v>17</v>
      </c>
      <c r="C106" s="40">
        <f t="shared" si="18"/>
        <v>3824.0599999999613</v>
      </c>
      <c r="D106" s="16">
        <v>167</v>
      </c>
      <c r="E106" s="16">
        <v>871</v>
      </c>
      <c r="F106" s="16"/>
      <c r="G106" s="16">
        <v>395</v>
      </c>
      <c r="H106" s="16"/>
      <c r="I106" s="16"/>
      <c r="J106" s="16"/>
      <c r="K106" s="16"/>
      <c r="L106" s="40">
        <f t="shared" si="14"/>
        <v>1433</v>
      </c>
      <c r="M106" s="11"/>
      <c r="N106" s="40">
        <f t="shared" si="15"/>
        <v>1266</v>
      </c>
      <c r="O106" s="40">
        <f t="shared" si="16"/>
        <v>0</v>
      </c>
      <c r="P106" s="11"/>
      <c r="Q106" s="40">
        <f t="shared" si="17"/>
        <v>3991.0599999999613</v>
      </c>
      <c r="R106" s="60"/>
      <c r="S106" s="12"/>
      <c r="U106" s="7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ht="19.5" thickTop="1" thickBot="1" x14ac:dyDescent="0.3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1"/>
      <c r="U107" s="7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ht="19.5" thickTop="1" thickBot="1" x14ac:dyDescent="0.3">
      <c r="A108" s="84"/>
      <c r="B108" s="85"/>
      <c r="C108" s="86"/>
      <c r="D108" s="13">
        <f t="shared" ref="D108:P108" si="20">SUM(D76:D106)</f>
        <v>78829.66</v>
      </c>
      <c r="E108" s="13">
        <f t="shared" si="20"/>
        <v>431081.58999999997</v>
      </c>
      <c r="F108" s="13">
        <f t="shared" si="20"/>
        <v>66453.399999999994</v>
      </c>
      <c r="G108" s="13">
        <f t="shared" si="20"/>
        <v>22811</v>
      </c>
      <c r="H108" s="13">
        <f t="shared" si="20"/>
        <v>0</v>
      </c>
      <c r="I108" s="13">
        <f t="shared" si="20"/>
        <v>0</v>
      </c>
      <c r="J108" s="13">
        <f t="shared" si="20"/>
        <v>21180</v>
      </c>
      <c r="K108" s="13">
        <f t="shared" si="20"/>
        <v>0</v>
      </c>
      <c r="L108" s="38">
        <f t="shared" si="20"/>
        <v>620355.65</v>
      </c>
      <c r="M108" s="13">
        <f t="shared" si="20"/>
        <v>81350</v>
      </c>
      <c r="N108" s="38">
        <f t="shared" si="20"/>
        <v>520345.99</v>
      </c>
      <c r="O108" s="38">
        <f t="shared" si="20"/>
        <v>21180</v>
      </c>
      <c r="P108" s="13">
        <f t="shared" si="20"/>
        <v>2118</v>
      </c>
      <c r="Q108" s="38">
        <f>C76+C108+L108+-M108-N108-O108-P108</f>
        <v>3991.0600000000559</v>
      </c>
      <c r="R108" s="63"/>
      <c r="S108" s="14"/>
      <c r="U108" s="7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ht="19.5" thickTop="1" thickBot="1" x14ac:dyDescent="0.3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1"/>
      <c r="U109" s="7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ht="20.25" customHeight="1" thickTop="1" thickBot="1" x14ac:dyDescent="0.3">
      <c r="A110" s="94" t="s">
        <v>0</v>
      </c>
      <c r="B110" s="96" t="s">
        <v>1</v>
      </c>
      <c r="C110" s="98" t="s">
        <v>2</v>
      </c>
      <c r="D110" s="80" t="s">
        <v>3</v>
      </c>
      <c r="E110" s="100" t="s">
        <v>4</v>
      </c>
      <c r="F110" s="101"/>
      <c r="G110" s="101"/>
      <c r="H110" s="101"/>
      <c r="I110" s="101"/>
      <c r="J110" s="101"/>
      <c r="K110" s="102"/>
      <c r="L110" s="80" t="s">
        <v>5</v>
      </c>
      <c r="M110" s="80" t="s">
        <v>6</v>
      </c>
      <c r="N110" s="80" t="s">
        <v>7</v>
      </c>
      <c r="O110" s="80" t="s">
        <v>8</v>
      </c>
      <c r="P110" s="80" t="s">
        <v>9</v>
      </c>
      <c r="Q110" s="82" t="s">
        <v>10</v>
      </c>
      <c r="R110" s="82" t="s">
        <v>34</v>
      </c>
      <c r="S110" s="82" t="s">
        <v>11</v>
      </c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ht="19.5" thickTop="1" thickBot="1" x14ac:dyDescent="0.3">
      <c r="A111" s="95"/>
      <c r="B111" s="97"/>
      <c r="C111" s="99"/>
      <c r="D111" s="81"/>
      <c r="E111" s="41" t="s">
        <v>12</v>
      </c>
      <c r="F111" s="42" t="s">
        <v>13</v>
      </c>
      <c r="G111" s="41" t="s">
        <v>14</v>
      </c>
      <c r="H111" s="41" t="s">
        <v>15</v>
      </c>
      <c r="I111" s="41" t="s">
        <v>45</v>
      </c>
      <c r="J111" s="42" t="s">
        <v>44</v>
      </c>
      <c r="K111" s="42" t="s">
        <v>46</v>
      </c>
      <c r="L111" s="81"/>
      <c r="M111" s="81"/>
      <c r="N111" s="81"/>
      <c r="O111" s="81"/>
      <c r="P111" s="81"/>
      <c r="Q111" s="83"/>
      <c r="R111" s="83"/>
      <c r="S111" s="83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ht="18.75" thickTop="1" x14ac:dyDescent="0.25">
      <c r="A112" s="36">
        <f>A106+1</f>
        <v>46113</v>
      </c>
      <c r="B112" s="37" t="s">
        <v>25</v>
      </c>
      <c r="C112" s="38">
        <f>SUM(Q108)</f>
        <v>3991.0600000000559</v>
      </c>
      <c r="D112" s="2">
        <v>206</v>
      </c>
      <c r="E112" s="2">
        <v>1362</v>
      </c>
      <c r="F112" s="2">
        <v>983</v>
      </c>
      <c r="G112" s="2"/>
      <c r="H112" s="2"/>
      <c r="I112" s="2"/>
      <c r="J112" s="2"/>
      <c r="K112" s="2"/>
      <c r="L112" s="38">
        <f t="shared" ref="L112:L141" si="21">SUM(D112:K112)</f>
        <v>2551</v>
      </c>
      <c r="M112" s="17"/>
      <c r="N112" s="38">
        <f t="shared" ref="N112:N141" si="22">SUM(E112+F112+G112+H112)</f>
        <v>2345</v>
      </c>
      <c r="O112" s="38">
        <f t="shared" ref="O112:O141" si="23">I112+K112+J112</f>
        <v>0</v>
      </c>
      <c r="P112" s="17"/>
      <c r="Q112" s="38">
        <f t="shared" ref="Q112:Q141" si="24">C112+L112+-M112-N112-O112-P112</f>
        <v>4197.0600000000559</v>
      </c>
      <c r="R112" s="58"/>
      <c r="S112" s="6"/>
      <c r="U112" s="7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ht="18" x14ac:dyDescent="0.25">
      <c r="A113" s="36">
        <f>A112+1</f>
        <v>46114</v>
      </c>
      <c r="B113" s="37" t="s">
        <v>19</v>
      </c>
      <c r="C113" s="38">
        <f t="shared" ref="C113:C141" si="25">Q112</f>
        <v>4197.0600000000559</v>
      </c>
      <c r="D113" s="2">
        <v>543</v>
      </c>
      <c r="E113" s="2">
        <v>1688</v>
      </c>
      <c r="F113" s="2"/>
      <c r="G113" s="2">
        <v>100</v>
      </c>
      <c r="H113" s="2"/>
      <c r="I113" s="2"/>
      <c r="J113" s="2"/>
      <c r="K113" s="2"/>
      <c r="L113" s="38">
        <f t="shared" si="21"/>
        <v>2331</v>
      </c>
      <c r="M113" s="17"/>
      <c r="N113" s="38">
        <f t="shared" si="22"/>
        <v>1788</v>
      </c>
      <c r="O113" s="38">
        <f t="shared" si="23"/>
        <v>0</v>
      </c>
      <c r="P113" s="17"/>
      <c r="Q113" s="38">
        <f t="shared" si="24"/>
        <v>4740.0600000000559</v>
      </c>
      <c r="R113" s="58"/>
      <c r="S113" s="6"/>
      <c r="U113" s="7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ht="18" x14ac:dyDescent="0.25">
      <c r="A114" s="36">
        <f t="shared" ref="A114:A141" si="26">A113+1</f>
        <v>46115</v>
      </c>
      <c r="B114" s="37" t="s">
        <v>26</v>
      </c>
      <c r="C114" s="38">
        <f t="shared" si="25"/>
        <v>4740.0600000000559</v>
      </c>
      <c r="D114" s="2">
        <v>765</v>
      </c>
      <c r="E114" s="2">
        <v>1802</v>
      </c>
      <c r="F114" s="2">
        <v>518</v>
      </c>
      <c r="G114" s="2"/>
      <c r="H114" s="2"/>
      <c r="I114" s="2"/>
      <c r="J114" s="2"/>
      <c r="K114" s="2"/>
      <c r="L114" s="38">
        <f t="shared" si="21"/>
        <v>3085</v>
      </c>
      <c r="M114" s="17"/>
      <c r="N114" s="38">
        <f t="shared" si="22"/>
        <v>2320</v>
      </c>
      <c r="O114" s="38">
        <f t="shared" si="23"/>
        <v>0</v>
      </c>
      <c r="P114" s="17"/>
      <c r="Q114" s="38">
        <f t="shared" si="24"/>
        <v>5505.0600000000559</v>
      </c>
      <c r="R114" s="58"/>
      <c r="S114" s="6"/>
      <c r="U114" s="7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ht="18" x14ac:dyDescent="0.25">
      <c r="A115" s="36">
        <f t="shared" si="26"/>
        <v>46116</v>
      </c>
      <c r="B115" s="37" t="s">
        <v>21</v>
      </c>
      <c r="C115" s="38">
        <f t="shared" si="25"/>
        <v>5505.0600000000559</v>
      </c>
      <c r="D115" s="2">
        <v>-82</v>
      </c>
      <c r="E115" s="2">
        <v>2668</v>
      </c>
      <c r="F115" s="2">
        <v>452</v>
      </c>
      <c r="G115" s="2"/>
      <c r="H115" s="2"/>
      <c r="I115" s="2"/>
      <c r="J115" s="2">
        <v>171</v>
      </c>
      <c r="K115" s="2"/>
      <c r="L115" s="38">
        <f t="shared" si="21"/>
        <v>3209</v>
      </c>
      <c r="M115" s="17"/>
      <c r="N115" s="38">
        <f t="shared" si="22"/>
        <v>3120</v>
      </c>
      <c r="O115" s="38">
        <f t="shared" si="23"/>
        <v>171</v>
      </c>
      <c r="P115" s="17"/>
      <c r="Q115" s="38">
        <f t="shared" si="24"/>
        <v>5423.0600000000559</v>
      </c>
      <c r="R115" s="58"/>
      <c r="S115" s="6"/>
      <c r="U115" s="7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ht="18" x14ac:dyDescent="0.25">
      <c r="A116" s="36">
        <f t="shared" si="26"/>
        <v>46117</v>
      </c>
      <c r="B116" s="37" t="s">
        <v>27</v>
      </c>
      <c r="C116" s="38">
        <f t="shared" si="25"/>
        <v>5423.0600000000559</v>
      </c>
      <c r="D116" s="2">
        <v>-23</v>
      </c>
      <c r="E116" s="2">
        <v>2907</v>
      </c>
      <c r="F116" s="2">
        <v>193</v>
      </c>
      <c r="G116" s="2">
        <v>223</v>
      </c>
      <c r="H116" s="2"/>
      <c r="I116" s="2"/>
      <c r="J116" s="2"/>
      <c r="K116" s="2"/>
      <c r="L116" s="38">
        <f t="shared" si="21"/>
        <v>3300</v>
      </c>
      <c r="M116" s="17"/>
      <c r="N116" s="38">
        <f t="shared" si="22"/>
        <v>3323</v>
      </c>
      <c r="O116" s="38">
        <f t="shared" si="23"/>
        <v>0</v>
      </c>
      <c r="P116" s="17"/>
      <c r="Q116" s="38">
        <f t="shared" si="24"/>
        <v>5400.0600000000559</v>
      </c>
      <c r="R116" s="58"/>
      <c r="S116" s="6"/>
      <c r="U116" s="7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ht="18" x14ac:dyDescent="0.25">
      <c r="A117" s="36">
        <f t="shared" si="26"/>
        <v>46118</v>
      </c>
      <c r="B117" s="37" t="s">
        <v>24</v>
      </c>
      <c r="C117" s="38">
        <f t="shared" si="25"/>
        <v>5400.0600000000559</v>
      </c>
      <c r="D117" s="2">
        <v>0</v>
      </c>
      <c r="E117" s="2">
        <v>726</v>
      </c>
      <c r="F117" s="2">
        <v>519</v>
      </c>
      <c r="G117" s="2"/>
      <c r="H117" s="2"/>
      <c r="I117" s="2"/>
      <c r="J117" s="2"/>
      <c r="K117" s="2"/>
      <c r="L117" s="38">
        <f t="shared" si="21"/>
        <v>1245</v>
      </c>
      <c r="M117" s="17"/>
      <c r="N117" s="38">
        <f t="shared" si="22"/>
        <v>1245</v>
      </c>
      <c r="O117" s="38">
        <f t="shared" si="23"/>
        <v>0</v>
      </c>
      <c r="P117" s="17"/>
      <c r="Q117" s="38">
        <f t="shared" si="24"/>
        <v>5400.0600000000559</v>
      </c>
      <c r="R117" s="58"/>
      <c r="S117" s="6"/>
      <c r="U117" s="7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ht="18" x14ac:dyDescent="0.25">
      <c r="A118" s="36">
        <f t="shared" si="26"/>
        <v>46119</v>
      </c>
      <c r="B118" s="37" t="s">
        <v>17</v>
      </c>
      <c r="C118" s="38">
        <f t="shared" si="25"/>
        <v>5400.0600000000559</v>
      </c>
      <c r="D118" s="2">
        <v>0</v>
      </c>
      <c r="E118" s="2">
        <v>2653</v>
      </c>
      <c r="F118" s="2">
        <v>189</v>
      </c>
      <c r="G118" s="2">
        <v>357</v>
      </c>
      <c r="H118" s="2"/>
      <c r="I118" s="2"/>
      <c r="J118" s="2">
        <v>250</v>
      </c>
      <c r="K118" s="2"/>
      <c r="L118" s="38">
        <f t="shared" si="21"/>
        <v>3449</v>
      </c>
      <c r="M118" s="17"/>
      <c r="N118" s="38">
        <f t="shared" si="22"/>
        <v>3199</v>
      </c>
      <c r="O118" s="38">
        <f t="shared" si="23"/>
        <v>250</v>
      </c>
      <c r="P118" s="17"/>
      <c r="Q118" s="38">
        <f t="shared" si="24"/>
        <v>5400.0600000000559</v>
      </c>
      <c r="R118" s="58"/>
      <c r="S118" s="6"/>
      <c r="U118" s="7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ht="18" x14ac:dyDescent="0.25">
      <c r="A119" s="36">
        <f t="shared" si="26"/>
        <v>46120</v>
      </c>
      <c r="B119" s="37" t="s">
        <v>25</v>
      </c>
      <c r="C119" s="38">
        <f t="shared" si="25"/>
        <v>5400.0600000000559</v>
      </c>
      <c r="D119" s="2">
        <v>-14</v>
      </c>
      <c r="E119" s="2">
        <v>1697</v>
      </c>
      <c r="F119" s="2">
        <v>793</v>
      </c>
      <c r="G119" s="2">
        <v>403</v>
      </c>
      <c r="H119" s="2"/>
      <c r="I119" s="2"/>
      <c r="J119" s="2"/>
      <c r="K119" s="2"/>
      <c r="L119" s="38">
        <f t="shared" si="21"/>
        <v>2879</v>
      </c>
      <c r="M119" s="17"/>
      <c r="N119" s="38">
        <f t="shared" si="22"/>
        <v>2893</v>
      </c>
      <c r="O119" s="38">
        <f t="shared" si="23"/>
        <v>0</v>
      </c>
      <c r="P119" s="17"/>
      <c r="Q119" s="38">
        <f t="shared" si="24"/>
        <v>5386.0600000000559</v>
      </c>
      <c r="R119" s="58"/>
      <c r="S119" s="6"/>
      <c r="U119" s="7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ht="18" x14ac:dyDescent="0.25">
      <c r="A120" s="36">
        <f t="shared" si="26"/>
        <v>46121</v>
      </c>
      <c r="B120" s="37" t="s">
        <v>19</v>
      </c>
      <c r="C120" s="38">
        <f t="shared" si="25"/>
        <v>5386.0600000000559</v>
      </c>
      <c r="D120" s="2">
        <v>239</v>
      </c>
      <c r="E120" s="2">
        <v>1790</v>
      </c>
      <c r="F120" s="2">
        <v>447</v>
      </c>
      <c r="G120" s="2">
        <v>1359</v>
      </c>
      <c r="H120" s="2"/>
      <c r="I120" s="2"/>
      <c r="J120" s="2"/>
      <c r="K120" s="2"/>
      <c r="L120" s="38">
        <f t="shared" si="21"/>
        <v>3835</v>
      </c>
      <c r="M120" s="17">
        <v>5800</v>
      </c>
      <c r="N120" s="38">
        <f t="shared" si="22"/>
        <v>3596</v>
      </c>
      <c r="O120" s="38">
        <f t="shared" si="23"/>
        <v>0</v>
      </c>
      <c r="P120" s="17"/>
      <c r="Q120" s="38">
        <f t="shared" si="24"/>
        <v>-174.93999999994412</v>
      </c>
      <c r="R120" s="58"/>
      <c r="S120" s="6" t="s">
        <v>83</v>
      </c>
      <c r="U120" s="7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ht="18" x14ac:dyDescent="0.25">
      <c r="A121" s="36">
        <f t="shared" si="26"/>
        <v>46122</v>
      </c>
      <c r="B121" s="37" t="s">
        <v>26</v>
      </c>
      <c r="C121" s="38">
        <f t="shared" si="25"/>
        <v>-174.93999999994412</v>
      </c>
      <c r="D121" s="2">
        <v>1506</v>
      </c>
      <c r="E121" s="2">
        <v>1374</v>
      </c>
      <c r="F121" s="2">
        <v>396</v>
      </c>
      <c r="G121" s="2"/>
      <c r="H121" s="2"/>
      <c r="I121" s="2"/>
      <c r="J121" s="2"/>
      <c r="K121" s="2"/>
      <c r="L121" s="38">
        <f t="shared" si="21"/>
        <v>3276</v>
      </c>
      <c r="M121" s="17"/>
      <c r="N121" s="38">
        <f t="shared" si="22"/>
        <v>1770</v>
      </c>
      <c r="O121" s="38">
        <f t="shared" si="23"/>
        <v>0</v>
      </c>
      <c r="P121" s="17"/>
      <c r="Q121" s="38">
        <f t="shared" si="24"/>
        <v>1331.0600000000559</v>
      </c>
      <c r="R121" s="58"/>
      <c r="S121" s="6"/>
      <c r="U121" s="7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ht="18" x14ac:dyDescent="0.25">
      <c r="A122" s="36">
        <f t="shared" si="26"/>
        <v>46123</v>
      </c>
      <c r="B122" s="37" t="s">
        <v>21</v>
      </c>
      <c r="C122" s="38">
        <f t="shared" si="25"/>
        <v>1331.0600000000559</v>
      </c>
      <c r="D122" s="2">
        <v>908</v>
      </c>
      <c r="E122" s="2">
        <v>1726</v>
      </c>
      <c r="F122" s="2"/>
      <c r="G122" s="2"/>
      <c r="H122" s="2"/>
      <c r="I122" s="2"/>
      <c r="J122" s="2"/>
      <c r="K122" s="2"/>
      <c r="L122" s="38">
        <f t="shared" si="21"/>
        <v>2634</v>
      </c>
      <c r="M122" s="17"/>
      <c r="N122" s="38">
        <f t="shared" si="22"/>
        <v>1726</v>
      </c>
      <c r="O122" s="38">
        <f t="shared" si="23"/>
        <v>0</v>
      </c>
      <c r="P122" s="17"/>
      <c r="Q122" s="38">
        <f t="shared" si="24"/>
        <v>2239.0600000000559</v>
      </c>
      <c r="R122" s="58"/>
      <c r="S122" s="6"/>
      <c r="U122" s="7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ht="18" x14ac:dyDescent="0.25">
      <c r="A123" s="36">
        <f t="shared" si="26"/>
        <v>46124</v>
      </c>
      <c r="B123" s="37" t="s">
        <v>27</v>
      </c>
      <c r="C123" s="38">
        <f t="shared" si="25"/>
        <v>2239.0600000000559</v>
      </c>
      <c r="D123" s="2">
        <v>189</v>
      </c>
      <c r="E123" s="2">
        <v>1360</v>
      </c>
      <c r="F123" s="2">
        <v>85</v>
      </c>
      <c r="G123" s="2"/>
      <c r="H123" s="2"/>
      <c r="I123" s="2"/>
      <c r="J123" s="2"/>
      <c r="K123" s="2"/>
      <c r="L123" s="38">
        <f t="shared" si="21"/>
        <v>1634</v>
      </c>
      <c r="M123" s="17"/>
      <c r="N123" s="38">
        <f t="shared" si="22"/>
        <v>1445</v>
      </c>
      <c r="O123" s="38">
        <f t="shared" si="23"/>
        <v>0</v>
      </c>
      <c r="P123" s="17"/>
      <c r="Q123" s="38">
        <f t="shared" si="24"/>
        <v>2428.0600000000559</v>
      </c>
      <c r="R123" s="58"/>
      <c r="S123" s="6"/>
      <c r="U123" s="7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ht="18" x14ac:dyDescent="0.25">
      <c r="A124" s="36">
        <f t="shared" si="26"/>
        <v>46125</v>
      </c>
      <c r="B124" s="37" t="s">
        <v>24</v>
      </c>
      <c r="C124" s="38">
        <f t="shared" si="25"/>
        <v>2428.0600000000559</v>
      </c>
      <c r="D124" s="2">
        <v>83</v>
      </c>
      <c r="E124" s="2">
        <v>2825</v>
      </c>
      <c r="F124" s="2">
        <v>39</v>
      </c>
      <c r="G124" s="2"/>
      <c r="H124" s="2"/>
      <c r="I124" s="2"/>
      <c r="J124" s="2"/>
      <c r="K124" s="2"/>
      <c r="L124" s="38">
        <f t="shared" si="21"/>
        <v>2947</v>
      </c>
      <c r="M124" s="17"/>
      <c r="N124" s="38">
        <f t="shared" si="22"/>
        <v>2864</v>
      </c>
      <c r="O124" s="38">
        <f t="shared" si="23"/>
        <v>0</v>
      </c>
      <c r="P124" s="17"/>
      <c r="Q124" s="38">
        <f t="shared" si="24"/>
        <v>2511.0600000000559</v>
      </c>
      <c r="R124" s="58"/>
      <c r="S124" s="6"/>
      <c r="U124" s="7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ht="18" x14ac:dyDescent="0.25">
      <c r="A125" s="36">
        <f t="shared" si="26"/>
        <v>46126</v>
      </c>
      <c r="B125" s="37" t="s">
        <v>17</v>
      </c>
      <c r="C125" s="38">
        <f t="shared" si="25"/>
        <v>2511.0600000000559</v>
      </c>
      <c r="D125" s="2">
        <v>75</v>
      </c>
      <c r="E125" s="2">
        <v>726</v>
      </c>
      <c r="F125" s="2">
        <v>98</v>
      </c>
      <c r="G125" s="2">
        <v>701</v>
      </c>
      <c r="H125" s="2"/>
      <c r="I125" s="2"/>
      <c r="J125" s="2"/>
      <c r="K125" s="2"/>
      <c r="L125" s="38">
        <f t="shared" si="21"/>
        <v>1600</v>
      </c>
      <c r="M125" s="17"/>
      <c r="N125" s="38">
        <f t="shared" si="22"/>
        <v>1525</v>
      </c>
      <c r="O125" s="38">
        <f t="shared" si="23"/>
        <v>0</v>
      </c>
      <c r="P125" s="17"/>
      <c r="Q125" s="38">
        <f t="shared" si="24"/>
        <v>2586.0600000000559</v>
      </c>
      <c r="R125" s="58"/>
      <c r="S125" s="6"/>
      <c r="U125" s="7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ht="18" x14ac:dyDescent="0.25">
      <c r="A126" s="36">
        <f t="shared" si="26"/>
        <v>46127</v>
      </c>
      <c r="B126" s="37" t="s">
        <v>25</v>
      </c>
      <c r="C126" s="38">
        <f t="shared" si="25"/>
        <v>2586.0600000000559</v>
      </c>
      <c r="D126" s="2">
        <v>338</v>
      </c>
      <c r="E126" s="2">
        <v>3072</v>
      </c>
      <c r="F126" s="2"/>
      <c r="G126" s="2"/>
      <c r="H126" s="2"/>
      <c r="I126" s="2"/>
      <c r="J126" s="2"/>
      <c r="K126" s="2"/>
      <c r="L126" s="38">
        <f t="shared" si="21"/>
        <v>3410</v>
      </c>
      <c r="M126" s="17"/>
      <c r="N126" s="38">
        <f t="shared" si="22"/>
        <v>3072</v>
      </c>
      <c r="O126" s="38">
        <f t="shared" si="23"/>
        <v>0</v>
      </c>
      <c r="P126" s="17"/>
      <c r="Q126" s="38">
        <f t="shared" si="24"/>
        <v>2924.0600000000559</v>
      </c>
      <c r="R126" s="58"/>
      <c r="S126" s="6"/>
      <c r="U126" s="7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ht="18" x14ac:dyDescent="0.25">
      <c r="A127" s="36">
        <f t="shared" si="26"/>
        <v>46128</v>
      </c>
      <c r="B127" s="37" t="s">
        <v>19</v>
      </c>
      <c r="C127" s="38">
        <f t="shared" si="25"/>
        <v>2924.0600000000559</v>
      </c>
      <c r="D127" s="2">
        <v>1384</v>
      </c>
      <c r="E127" s="2">
        <v>857</v>
      </c>
      <c r="F127" s="2">
        <v>691</v>
      </c>
      <c r="G127" s="2">
        <v>108</v>
      </c>
      <c r="H127" s="2"/>
      <c r="I127" s="2"/>
      <c r="J127" s="2"/>
      <c r="K127" s="2"/>
      <c r="L127" s="38">
        <f t="shared" si="21"/>
        <v>3040</v>
      </c>
      <c r="M127" s="17"/>
      <c r="N127" s="38">
        <f t="shared" si="22"/>
        <v>1656</v>
      </c>
      <c r="O127" s="38">
        <f t="shared" si="23"/>
        <v>0</v>
      </c>
      <c r="P127" s="17"/>
      <c r="Q127" s="38">
        <f t="shared" si="24"/>
        <v>4308.0600000000559</v>
      </c>
      <c r="R127" s="58"/>
      <c r="S127" s="6"/>
      <c r="U127" s="7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ht="18" x14ac:dyDescent="0.25">
      <c r="A128" s="36">
        <f t="shared" si="26"/>
        <v>46129</v>
      </c>
      <c r="B128" s="37" t="s">
        <v>26</v>
      </c>
      <c r="C128" s="38">
        <f t="shared" si="25"/>
        <v>4308.0600000000559</v>
      </c>
      <c r="D128" s="2">
        <v>76</v>
      </c>
      <c r="E128" s="2">
        <v>2448</v>
      </c>
      <c r="F128" s="2">
        <v>444</v>
      </c>
      <c r="G128" s="2">
        <v>696</v>
      </c>
      <c r="H128" s="2"/>
      <c r="I128" s="2"/>
      <c r="J128" s="2"/>
      <c r="K128" s="2"/>
      <c r="L128" s="38">
        <f t="shared" si="21"/>
        <v>3664</v>
      </c>
      <c r="M128" s="17"/>
      <c r="N128" s="38">
        <f t="shared" si="22"/>
        <v>3588</v>
      </c>
      <c r="O128" s="38">
        <f t="shared" si="23"/>
        <v>0</v>
      </c>
      <c r="P128" s="17"/>
      <c r="Q128" s="38">
        <f t="shared" si="24"/>
        <v>4384.0600000000559</v>
      </c>
      <c r="R128" s="58"/>
      <c r="S128" s="6"/>
      <c r="U128" s="7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ht="18" x14ac:dyDescent="0.25">
      <c r="A129" s="36">
        <f t="shared" si="26"/>
        <v>46130</v>
      </c>
      <c r="B129" s="37" t="s">
        <v>21</v>
      </c>
      <c r="C129" s="38">
        <f t="shared" si="25"/>
        <v>4384.0600000000559</v>
      </c>
      <c r="D129" s="2">
        <v>321</v>
      </c>
      <c r="E129" s="2">
        <v>829</v>
      </c>
      <c r="F129" s="2">
        <v>239</v>
      </c>
      <c r="G129" s="2">
        <v>820</v>
      </c>
      <c r="H129" s="2"/>
      <c r="I129" s="2"/>
      <c r="J129" s="2"/>
      <c r="K129" s="2"/>
      <c r="L129" s="38">
        <f t="shared" si="21"/>
        <v>2209</v>
      </c>
      <c r="M129" s="17"/>
      <c r="N129" s="38">
        <f t="shared" si="22"/>
        <v>1888</v>
      </c>
      <c r="O129" s="38">
        <f t="shared" si="23"/>
        <v>0</v>
      </c>
      <c r="P129" s="17"/>
      <c r="Q129" s="38">
        <f t="shared" si="24"/>
        <v>4705.0600000000559</v>
      </c>
      <c r="R129" s="58"/>
      <c r="S129" s="6"/>
      <c r="U129" s="7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ht="18" x14ac:dyDescent="0.25">
      <c r="A130" s="36">
        <f t="shared" si="26"/>
        <v>46131</v>
      </c>
      <c r="B130" s="37" t="s">
        <v>27</v>
      </c>
      <c r="C130" s="38">
        <f t="shared" si="25"/>
        <v>4705.0600000000559</v>
      </c>
      <c r="D130" s="2">
        <v>1535</v>
      </c>
      <c r="E130" s="2">
        <v>1011</v>
      </c>
      <c r="F130" s="2">
        <v>15</v>
      </c>
      <c r="G130" s="2">
        <v>991</v>
      </c>
      <c r="H130" s="2"/>
      <c r="I130" s="2"/>
      <c r="J130" s="2">
        <v>598</v>
      </c>
      <c r="K130" s="2"/>
      <c r="L130" s="38">
        <f t="shared" si="21"/>
        <v>4150</v>
      </c>
      <c r="M130" s="17"/>
      <c r="N130" s="38">
        <f t="shared" si="22"/>
        <v>2017</v>
      </c>
      <c r="O130" s="38">
        <f t="shared" si="23"/>
        <v>598</v>
      </c>
      <c r="P130" s="17"/>
      <c r="Q130" s="38">
        <f t="shared" si="24"/>
        <v>6240.0600000000559</v>
      </c>
      <c r="R130" s="58"/>
      <c r="S130" s="6"/>
      <c r="U130" s="7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ht="18" x14ac:dyDescent="0.25">
      <c r="A131" s="36">
        <f t="shared" si="26"/>
        <v>46132</v>
      </c>
      <c r="B131" s="37" t="s">
        <v>24</v>
      </c>
      <c r="C131" s="38">
        <f t="shared" si="25"/>
        <v>6240.0600000000559</v>
      </c>
      <c r="D131" s="2">
        <v>129</v>
      </c>
      <c r="E131" s="2">
        <v>3039</v>
      </c>
      <c r="F131" s="2">
        <v>264</v>
      </c>
      <c r="G131" s="2">
        <v>156</v>
      </c>
      <c r="H131" s="2"/>
      <c r="I131" s="2"/>
      <c r="J131" s="2"/>
      <c r="K131" s="2"/>
      <c r="L131" s="38">
        <f t="shared" si="21"/>
        <v>3588</v>
      </c>
      <c r="M131" s="17">
        <v>4800</v>
      </c>
      <c r="N131" s="38">
        <f t="shared" si="22"/>
        <v>3459</v>
      </c>
      <c r="O131" s="38">
        <f t="shared" si="23"/>
        <v>0</v>
      </c>
      <c r="P131" s="17"/>
      <c r="Q131" s="38">
        <f t="shared" si="24"/>
        <v>1569.0600000000559</v>
      </c>
      <c r="R131" s="58"/>
      <c r="S131" s="6" t="s">
        <v>84</v>
      </c>
      <c r="U131" s="7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ht="18" x14ac:dyDescent="0.25">
      <c r="A132" s="36">
        <f t="shared" si="26"/>
        <v>46133</v>
      </c>
      <c r="B132" s="37" t="s">
        <v>17</v>
      </c>
      <c r="C132" s="38">
        <f t="shared" si="25"/>
        <v>1569.0600000000559</v>
      </c>
      <c r="D132" s="2">
        <v>106</v>
      </c>
      <c r="E132" s="2">
        <v>3087</v>
      </c>
      <c r="F132" s="2">
        <v>212</v>
      </c>
      <c r="G132" s="2"/>
      <c r="H132" s="2"/>
      <c r="I132" s="2"/>
      <c r="J132" s="2"/>
      <c r="K132" s="2"/>
      <c r="L132" s="38">
        <f t="shared" si="21"/>
        <v>3405</v>
      </c>
      <c r="M132" s="17"/>
      <c r="N132" s="38">
        <f t="shared" si="22"/>
        <v>3299</v>
      </c>
      <c r="O132" s="38">
        <f t="shared" si="23"/>
        <v>0</v>
      </c>
      <c r="P132" s="17"/>
      <c r="Q132" s="38">
        <f t="shared" si="24"/>
        <v>1675.0600000000559</v>
      </c>
      <c r="R132" s="58"/>
      <c r="S132" s="6"/>
      <c r="U132" s="7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ht="18" x14ac:dyDescent="0.25">
      <c r="A133" s="36">
        <f t="shared" si="26"/>
        <v>46134</v>
      </c>
      <c r="B133" s="37" t="s">
        <v>25</v>
      </c>
      <c r="C133" s="38">
        <f t="shared" si="25"/>
        <v>1675.0600000000559</v>
      </c>
      <c r="D133" s="2">
        <v>-91</v>
      </c>
      <c r="E133" s="2">
        <v>1432</v>
      </c>
      <c r="F133" s="2"/>
      <c r="G133" s="2"/>
      <c r="H133" s="2"/>
      <c r="I133" s="2"/>
      <c r="J133" s="2"/>
      <c r="K133" s="2"/>
      <c r="L133" s="38">
        <f t="shared" si="21"/>
        <v>1341</v>
      </c>
      <c r="M133" s="17"/>
      <c r="N133" s="38">
        <f t="shared" si="22"/>
        <v>1432</v>
      </c>
      <c r="O133" s="38">
        <f t="shared" si="23"/>
        <v>0</v>
      </c>
      <c r="P133" s="17"/>
      <c r="Q133" s="38">
        <f t="shared" si="24"/>
        <v>1584.0600000000559</v>
      </c>
      <c r="R133" s="58"/>
      <c r="S133" s="6"/>
      <c r="U133" s="7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ht="18" x14ac:dyDescent="0.25">
      <c r="A134" s="36">
        <f t="shared" si="26"/>
        <v>46135</v>
      </c>
      <c r="B134" s="37" t="s">
        <v>19</v>
      </c>
      <c r="C134" s="38">
        <f t="shared" si="25"/>
        <v>1584.0600000000559</v>
      </c>
      <c r="D134" s="2">
        <v>1268</v>
      </c>
      <c r="E134" s="2">
        <v>3937</v>
      </c>
      <c r="F134" s="2">
        <v>49</v>
      </c>
      <c r="G134" s="2"/>
      <c r="H134" s="2"/>
      <c r="I134" s="2"/>
      <c r="J134" s="2"/>
      <c r="K134" s="2"/>
      <c r="L134" s="38">
        <f t="shared" si="21"/>
        <v>5254</v>
      </c>
      <c r="M134" s="17"/>
      <c r="N134" s="38">
        <f t="shared" si="22"/>
        <v>3986</v>
      </c>
      <c r="O134" s="38">
        <f t="shared" si="23"/>
        <v>0</v>
      </c>
      <c r="P134" s="17"/>
      <c r="Q134" s="38">
        <f t="shared" si="24"/>
        <v>2852.0600000000559</v>
      </c>
      <c r="R134" s="58"/>
      <c r="S134" s="6"/>
      <c r="U134" s="7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ht="18" x14ac:dyDescent="0.25">
      <c r="A135" s="36">
        <f t="shared" si="26"/>
        <v>46136</v>
      </c>
      <c r="B135" s="37" t="s">
        <v>26</v>
      </c>
      <c r="C135" s="38">
        <f t="shared" si="25"/>
        <v>2852.0600000000559</v>
      </c>
      <c r="D135" s="2">
        <v>468</v>
      </c>
      <c r="E135" s="2">
        <v>3336</v>
      </c>
      <c r="F135" s="2">
        <v>128</v>
      </c>
      <c r="G135" s="2">
        <v>1506</v>
      </c>
      <c r="H135" s="2"/>
      <c r="I135" s="2"/>
      <c r="J135" s="2">
        <v>723</v>
      </c>
      <c r="K135" s="2"/>
      <c r="L135" s="38">
        <f t="shared" si="21"/>
        <v>6161</v>
      </c>
      <c r="M135" s="17"/>
      <c r="N135" s="38">
        <f t="shared" si="22"/>
        <v>4970</v>
      </c>
      <c r="O135" s="38">
        <f t="shared" si="23"/>
        <v>723</v>
      </c>
      <c r="P135" s="17"/>
      <c r="Q135" s="38">
        <f t="shared" si="24"/>
        <v>3320.0600000000559</v>
      </c>
      <c r="R135" s="58"/>
      <c r="S135" s="6"/>
      <c r="U135" s="7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ht="18" x14ac:dyDescent="0.25">
      <c r="A136" s="36">
        <f t="shared" si="26"/>
        <v>46137</v>
      </c>
      <c r="B136" s="37" t="s">
        <v>21</v>
      </c>
      <c r="C136" s="38">
        <f t="shared" si="25"/>
        <v>3320.0600000000559</v>
      </c>
      <c r="D136" s="2">
        <v>1424</v>
      </c>
      <c r="E136" s="2">
        <v>1914</v>
      </c>
      <c r="F136" s="2"/>
      <c r="G136" s="2"/>
      <c r="H136" s="2"/>
      <c r="I136" s="2"/>
      <c r="J136" s="2"/>
      <c r="K136" s="2"/>
      <c r="L136" s="38">
        <f t="shared" si="21"/>
        <v>3338</v>
      </c>
      <c r="M136" s="17"/>
      <c r="N136" s="38">
        <f t="shared" si="22"/>
        <v>1914</v>
      </c>
      <c r="O136" s="38">
        <f t="shared" si="23"/>
        <v>0</v>
      </c>
      <c r="P136" s="17">
        <v>420</v>
      </c>
      <c r="Q136" s="38">
        <f t="shared" si="24"/>
        <v>4324.0600000000559</v>
      </c>
      <c r="R136" s="58"/>
      <c r="S136" s="6" t="s">
        <v>86</v>
      </c>
      <c r="U136" s="7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ht="18" x14ac:dyDescent="0.25">
      <c r="A137" s="36">
        <f t="shared" si="26"/>
        <v>46138</v>
      </c>
      <c r="B137" s="37" t="s">
        <v>27</v>
      </c>
      <c r="C137" s="38">
        <f t="shared" si="25"/>
        <v>4324.0600000000559</v>
      </c>
      <c r="D137" s="2">
        <v>183</v>
      </c>
      <c r="E137" s="2">
        <v>1176</v>
      </c>
      <c r="F137" s="2">
        <v>399</v>
      </c>
      <c r="G137" s="2">
        <v>249</v>
      </c>
      <c r="H137" s="2"/>
      <c r="I137" s="2"/>
      <c r="J137" s="2"/>
      <c r="K137" s="2">
        <v>399</v>
      </c>
      <c r="L137" s="38">
        <f t="shared" si="21"/>
        <v>2406</v>
      </c>
      <c r="M137" s="17"/>
      <c r="N137" s="38">
        <f t="shared" si="22"/>
        <v>1824</v>
      </c>
      <c r="O137" s="38">
        <f t="shared" si="23"/>
        <v>399</v>
      </c>
      <c r="P137" s="17"/>
      <c r="Q137" s="38">
        <f t="shared" si="24"/>
        <v>4507.0600000000559</v>
      </c>
      <c r="R137" s="58"/>
      <c r="S137" s="6" t="s">
        <v>85</v>
      </c>
      <c r="U137" s="7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ht="18" x14ac:dyDescent="0.25">
      <c r="A138" s="36">
        <f t="shared" si="26"/>
        <v>46139</v>
      </c>
      <c r="B138" s="37" t="s">
        <v>24</v>
      </c>
      <c r="C138" s="38">
        <f t="shared" si="25"/>
        <v>4507.0600000000559</v>
      </c>
      <c r="D138" s="2">
        <v>1667</v>
      </c>
      <c r="E138" s="2">
        <v>3203</v>
      </c>
      <c r="F138" s="2">
        <v>613</v>
      </c>
      <c r="G138" s="2">
        <v>754</v>
      </c>
      <c r="H138" s="2"/>
      <c r="I138" s="2"/>
      <c r="J138" s="2">
        <v>168</v>
      </c>
      <c r="K138" s="2"/>
      <c r="L138" s="38">
        <f t="shared" si="21"/>
        <v>6405</v>
      </c>
      <c r="M138" s="17"/>
      <c r="N138" s="38">
        <f t="shared" si="22"/>
        <v>4570</v>
      </c>
      <c r="O138" s="38">
        <f t="shared" si="23"/>
        <v>168</v>
      </c>
      <c r="P138" s="17"/>
      <c r="Q138" s="38">
        <f t="shared" si="24"/>
        <v>6174.0600000000559</v>
      </c>
      <c r="R138" s="58"/>
      <c r="S138" s="6"/>
      <c r="U138" s="7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ht="18.75" thickBot="1" x14ac:dyDescent="0.3">
      <c r="A139" s="36">
        <f t="shared" si="26"/>
        <v>46140</v>
      </c>
      <c r="B139" s="39" t="s">
        <v>17</v>
      </c>
      <c r="C139" s="38">
        <f t="shared" si="25"/>
        <v>6174.0600000000559</v>
      </c>
      <c r="D139" s="2">
        <v>-236</v>
      </c>
      <c r="E139" s="2">
        <v>5831</v>
      </c>
      <c r="F139" s="2">
        <v>331</v>
      </c>
      <c r="G139" s="2"/>
      <c r="H139" s="2"/>
      <c r="I139" s="2"/>
      <c r="J139" s="2">
        <v>598</v>
      </c>
      <c r="K139" s="2"/>
      <c r="L139" s="38">
        <f t="shared" si="21"/>
        <v>6524</v>
      </c>
      <c r="M139" s="17"/>
      <c r="N139" s="38">
        <f t="shared" si="22"/>
        <v>6162</v>
      </c>
      <c r="O139" s="38">
        <f t="shared" si="23"/>
        <v>598</v>
      </c>
      <c r="P139" s="17"/>
      <c r="Q139" s="38">
        <f t="shared" si="24"/>
        <v>5938.0600000000559</v>
      </c>
      <c r="R139" s="58"/>
      <c r="S139" s="6"/>
      <c r="U139" s="7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ht="18.75" thickTop="1" x14ac:dyDescent="0.25">
      <c r="A140" s="36">
        <f t="shared" si="26"/>
        <v>46141</v>
      </c>
      <c r="B140" s="76" t="s">
        <v>25</v>
      </c>
      <c r="C140" s="38">
        <f t="shared" si="25"/>
        <v>5938.0600000000559</v>
      </c>
      <c r="D140" s="2">
        <v>68</v>
      </c>
      <c r="E140" s="2">
        <v>1895</v>
      </c>
      <c r="F140" s="2">
        <v>273</v>
      </c>
      <c r="G140" s="2"/>
      <c r="H140" s="2"/>
      <c r="I140" s="2"/>
      <c r="J140" s="2">
        <v>498</v>
      </c>
      <c r="K140" s="2"/>
      <c r="L140" s="38">
        <f t="shared" si="21"/>
        <v>2734</v>
      </c>
      <c r="M140" s="17"/>
      <c r="N140" s="38">
        <f t="shared" si="22"/>
        <v>2168</v>
      </c>
      <c r="O140" s="38">
        <f t="shared" si="23"/>
        <v>498</v>
      </c>
      <c r="P140" s="17"/>
      <c r="Q140" s="38">
        <f t="shared" si="24"/>
        <v>6006.0600000000559</v>
      </c>
      <c r="R140" s="59"/>
      <c r="S140" s="8"/>
      <c r="U140" s="7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ht="18.75" thickBot="1" x14ac:dyDescent="0.3">
      <c r="A141" s="49">
        <f t="shared" si="26"/>
        <v>46142</v>
      </c>
      <c r="B141" s="75" t="s">
        <v>19</v>
      </c>
      <c r="C141" s="40">
        <f t="shared" si="25"/>
        <v>6006.0600000000559</v>
      </c>
      <c r="D141" s="9">
        <v>207</v>
      </c>
      <c r="E141" s="9">
        <v>3905</v>
      </c>
      <c r="F141" s="9">
        <v>968</v>
      </c>
      <c r="G141" s="9"/>
      <c r="H141" s="9"/>
      <c r="I141" s="9"/>
      <c r="J141" s="9"/>
      <c r="K141" s="9"/>
      <c r="L141" s="40">
        <f t="shared" si="21"/>
        <v>5080</v>
      </c>
      <c r="M141" s="18">
        <v>2500</v>
      </c>
      <c r="N141" s="40">
        <f t="shared" si="22"/>
        <v>4873</v>
      </c>
      <c r="O141" s="40">
        <f t="shared" si="23"/>
        <v>0</v>
      </c>
      <c r="P141" s="18"/>
      <c r="Q141" s="40">
        <f t="shared" si="24"/>
        <v>3713.0600000000559</v>
      </c>
      <c r="R141" s="60"/>
      <c r="S141" s="12" t="s">
        <v>87</v>
      </c>
      <c r="U141" s="7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ht="19.5" thickTop="1" thickBot="1" x14ac:dyDescent="0.3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1"/>
      <c r="U142" s="7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ht="19.5" thickTop="1" thickBot="1" x14ac:dyDescent="0.3">
      <c r="A143" s="84"/>
      <c r="B143" s="85"/>
      <c r="C143" s="86"/>
      <c r="D143" s="13">
        <f t="shared" ref="D143:P143" si="27">SUM(D111:D141)</f>
        <v>13242</v>
      </c>
      <c r="E143" s="13">
        <f t="shared" si="27"/>
        <v>66276</v>
      </c>
      <c r="F143" s="13">
        <f t="shared" si="27"/>
        <v>9338</v>
      </c>
      <c r="G143" s="13">
        <f t="shared" si="27"/>
        <v>8423</v>
      </c>
      <c r="H143" s="13">
        <f t="shared" si="27"/>
        <v>0</v>
      </c>
      <c r="I143" s="13">
        <f t="shared" si="27"/>
        <v>0</v>
      </c>
      <c r="J143" s="13">
        <f t="shared" si="27"/>
        <v>3006</v>
      </c>
      <c r="K143" s="13">
        <f t="shared" si="27"/>
        <v>399</v>
      </c>
      <c r="L143" s="38">
        <f t="shared" si="27"/>
        <v>100684</v>
      </c>
      <c r="M143" s="13">
        <f t="shared" si="27"/>
        <v>13100</v>
      </c>
      <c r="N143" s="38">
        <f t="shared" si="27"/>
        <v>84037</v>
      </c>
      <c r="O143" s="38">
        <f t="shared" si="27"/>
        <v>3405</v>
      </c>
      <c r="P143" s="13">
        <f t="shared" si="27"/>
        <v>420</v>
      </c>
      <c r="Q143" s="38">
        <f>C112+C143+L143+-M143-N143-O143-P143</f>
        <v>3713.0600000000559</v>
      </c>
      <c r="R143" s="63"/>
      <c r="S143" s="14"/>
      <c r="U143" s="7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ht="19.5" thickTop="1" thickBot="1" x14ac:dyDescent="0.3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1"/>
      <c r="U144" s="7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ht="20.25" customHeight="1" thickTop="1" thickBot="1" x14ac:dyDescent="0.3">
      <c r="A145" s="94" t="s">
        <v>0</v>
      </c>
      <c r="B145" s="96" t="s">
        <v>1</v>
      </c>
      <c r="C145" s="98" t="s">
        <v>2</v>
      </c>
      <c r="D145" s="80" t="s">
        <v>3</v>
      </c>
      <c r="E145" s="100" t="s">
        <v>4</v>
      </c>
      <c r="F145" s="101"/>
      <c r="G145" s="101"/>
      <c r="H145" s="101"/>
      <c r="I145" s="101"/>
      <c r="J145" s="101"/>
      <c r="K145" s="102"/>
      <c r="L145" s="80" t="s">
        <v>5</v>
      </c>
      <c r="M145" s="80" t="s">
        <v>6</v>
      </c>
      <c r="N145" s="80" t="s">
        <v>7</v>
      </c>
      <c r="O145" s="80" t="s">
        <v>8</v>
      </c>
      <c r="P145" s="80" t="s">
        <v>9</v>
      </c>
      <c r="Q145" s="82" t="s">
        <v>10</v>
      </c>
      <c r="R145" s="82" t="s">
        <v>34</v>
      </c>
      <c r="S145" s="82" t="s">
        <v>11</v>
      </c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ht="19.5" thickTop="1" thickBot="1" x14ac:dyDescent="0.3">
      <c r="A146" s="95"/>
      <c r="B146" s="97"/>
      <c r="C146" s="99"/>
      <c r="D146" s="81"/>
      <c r="E146" s="41" t="s">
        <v>12</v>
      </c>
      <c r="F146" s="42" t="s">
        <v>13</v>
      </c>
      <c r="G146" s="41" t="s">
        <v>14</v>
      </c>
      <c r="H146" s="41" t="s">
        <v>15</v>
      </c>
      <c r="I146" s="41" t="s">
        <v>45</v>
      </c>
      <c r="J146" s="42" t="s">
        <v>44</v>
      </c>
      <c r="K146" s="42" t="s">
        <v>46</v>
      </c>
      <c r="L146" s="81"/>
      <c r="M146" s="81"/>
      <c r="N146" s="81"/>
      <c r="O146" s="81"/>
      <c r="P146" s="81"/>
      <c r="Q146" s="83"/>
      <c r="R146" s="83"/>
      <c r="S146" s="83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ht="18.75" thickTop="1" x14ac:dyDescent="0.25">
      <c r="A147" s="36">
        <f>A141+1</f>
        <v>46143</v>
      </c>
      <c r="B147" s="37" t="s">
        <v>20</v>
      </c>
      <c r="C147" s="38">
        <f>SUM(Q141)</f>
        <v>3713.0600000000559</v>
      </c>
      <c r="D147" s="15">
        <v>1052</v>
      </c>
      <c r="E147" s="15">
        <v>3711</v>
      </c>
      <c r="F147" s="15">
        <v>507</v>
      </c>
      <c r="G147" s="15">
        <v>56</v>
      </c>
      <c r="H147" s="15"/>
      <c r="I147" s="15"/>
      <c r="J147" s="15">
        <v>198</v>
      </c>
      <c r="K147" s="15"/>
      <c r="L147" s="38">
        <f t="shared" ref="L147:L177" si="28">SUM(D147:K147)</f>
        <v>5524</v>
      </c>
      <c r="M147" s="5"/>
      <c r="N147" s="38">
        <f t="shared" ref="N147:N177" si="29">SUM(E147+F147+G147+H147)</f>
        <v>4274</v>
      </c>
      <c r="O147" s="38">
        <f t="shared" ref="O147:O177" si="30">I147+K147+J147</f>
        <v>198</v>
      </c>
      <c r="P147" s="5"/>
      <c r="Q147" s="38">
        <f t="shared" ref="Q147:Q177" si="31">C147+L147+-M147-N147-O147-P147</f>
        <v>4765.0600000000559</v>
      </c>
      <c r="R147" s="58"/>
      <c r="S147" s="6"/>
      <c r="U147" s="7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ht="18" x14ac:dyDescent="0.25">
      <c r="A148" s="36">
        <f>A147+1</f>
        <v>46144</v>
      </c>
      <c r="B148" s="37" t="s">
        <v>21</v>
      </c>
      <c r="C148" s="38">
        <f t="shared" ref="C148:C177" si="32">Q147</f>
        <v>4765.0600000000559</v>
      </c>
      <c r="D148" s="15">
        <v>307</v>
      </c>
      <c r="E148" s="15">
        <v>6727</v>
      </c>
      <c r="F148" s="15">
        <v>155</v>
      </c>
      <c r="G148" s="15"/>
      <c r="H148" s="15"/>
      <c r="I148" s="15"/>
      <c r="J148" s="15">
        <v>498</v>
      </c>
      <c r="K148" s="15"/>
      <c r="L148" s="38">
        <f t="shared" si="28"/>
        <v>7687</v>
      </c>
      <c r="M148" s="5"/>
      <c r="N148" s="38">
        <f t="shared" si="29"/>
        <v>6882</v>
      </c>
      <c r="O148" s="38">
        <f t="shared" si="30"/>
        <v>498</v>
      </c>
      <c r="P148" s="5"/>
      <c r="Q148" s="38">
        <f t="shared" si="31"/>
        <v>5072.0600000000559</v>
      </c>
      <c r="R148" s="58"/>
      <c r="S148" s="6"/>
      <c r="U148" s="7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ht="18" x14ac:dyDescent="0.25">
      <c r="A149" s="36">
        <f t="shared" ref="A149:A177" si="33">A148+1</f>
        <v>46145</v>
      </c>
      <c r="B149" s="37" t="s">
        <v>22</v>
      </c>
      <c r="C149" s="38">
        <f t="shared" si="32"/>
        <v>5072.0600000000559</v>
      </c>
      <c r="D149" s="15">
        <v>1578</v>
      </c>
      <c r="E149" s="15">
        <v>2280</v>
      </c>
      <c r="F149" s="15">
        <v>845</v>
      </c>
      <c r="G149" s="15">
        <v>48</v>
      </c>
      <c r="H149" s="15"/>
      <c r="I149" s="15"/>
      <c r="J149" s="15"/>
      <c r="K149" s="15"/>
      <c r="L149" s="38">
        <f t="shared" si="28"/>
        <v>4751</v>
      </c>
      <c r="M149" s="5"/>
      <c r="N149" s="38">
        <f t="shared" si="29"/>
        <v>3173</v>
      </c>
      <c r="O149" s="38">
        <f t="shared" si="30"/>
        <v>0</v>
      </c>
      <c r="P149" s="5"/>
      <c r="Q149" s="38">
        <f t="shared" si="31"/>
        <v>6650.0600000000559</v>
      </c>
      <c r="R149" s="58"/>
      <c r="S149" s="6"/>
      <c r="U149" s="7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ht="18" x14ac:dyDescent="0.25">
      <c r="A150" s="36">
        <f t="shared" si="33"/>
        <v>46146</v>
      </c>
      <c r="B150" s="37" t="s">
        <v>16</v>
      </c>
      <c r="C150" s="38">
        <f t="shared" si="32"/>
        <v>6650.0600000000559</v>
      </c>
      <c r="D150" s="15">
        <v>498</v>
      </c>
      <c r="E150" s="15">
        <v>2100</v>
      </c>
      <c r="F150" s="15">
        <v>876</v>
      </c>
      <c r="G150" s="15">
        <v>498</v>
      </c>
      <c r="H150" s="15"/>
      <c r="I150" s="15"/>
      <c r="J150" s="15"/>
      <c r="K150" s="15"/>
      <c r="L150" s="38">
        <f t="shared" si="28"/>
        <v>3972</v>
      </c>
      <c r="M150" s="5"/>
      <c r="N150" s="38">
        <f t="shared" si="29"/>
        <v>3474</v>
      </c>
      <c r="O150" s="38">
        <f t="shared" si="30"/>
        <v>0</v>
      </c>
      <c r="P150" s="5"/>
      <c r="Q150" s="38">
        <f t="shared" si="31"/>
        <v>7148.0600000000559</v>
      </c>
      <c r="R150" s="58"/>
      <c r="S150" s="6"/>
      <c r="U150" s="7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ht="18" x14ac:dyDescent="0.25">
      <c r="A151" s="36">
        <f t="shared" si="33"/>
        <v>46147</v>
      </c>
      <c r="B151" s="37" t="s">
        <v>17</v>
      </c>
      <c r="C151" s="38">
        <f t="shared" si="32"/>
        <v>7148.0600000000559</v>
      </c>
      <c r="D151" s="15">
        <v>-33</v>
      </c>
      <c r="E151" s="15">
        <v>2971</v>
      </c>
      <c r="F151" s="15">
        <v>1113</v>
      </c>
      <c r="G151" s="15"/>
      <c r="H151" s="15"/>
      <c r="I151" s="15"/>
      <c r="J151" s="15"/>
      <c r="K151" s="15"/>
      <c r="L151" s="38">
        <f t="shared" si="28"/>
        <v>4051</v>
      </c>
      <c r="M151" s="5">
        <v>5800</v>
      </c>
      <c r="N151" s="38">
        <f t="shared" si="29"/>
        <v>4084</v>
      </c>
      <c r="O151" s="38">
        <f t="shared" si="30"/>
        <v>0</v>
      </c>
      <c r="P151" s="5"/>
      <c r="Q151" s="38">
        <f t="shared" si="31"/>
        <v>1315.0600000000559</v>
      </c>
      <c r="R151" s="58"/>
      <c r="S151" s="6" t="s">
        <v>88</v>
      </c>
      <c r="U151" s="7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ht="18" x14ac:dyDescent="0.25">
      <c r="A152" s="36">
        <f t="shared" si="33"/>
        <v>46148</v>
      </c>
      <c r="B152" s="37" t="s">
        <v>18</v>
      </c>
      <c r="C152" s="38">
        <f t="shared" si="32"/>
        <v>1315.0600000000559</v>
      </c>
      <c r="D152" s="15">
        <v>227</v>
      </c>
      <c r="E152" s="15">
        <v>1688</v>
      </c>
      <c r="F152" s="15">
        <v>39</v>
      </c>
      <c r="G152" s="15">
        <v>3</v>
      </c>
      <c r="H152" s="15"/>
      <c r="I152" s="15"/>
      <c r="J152" s="15">
        <v>398</v>
      </c>
      <c r="K152" s="15"/>
      <c r="L152" s="38">
        <f t="shared" si="28"/>
        <v>2355</v>
      </c>
      <c r="M152" s="5"/>
      <c r="N152" s="38">
        <f t="shared" si="29"/>
        <v>1730</v>
      </c>
      <c r="O152" s="38">
        <f t="shared" si="30"/>
        <v>398</v>
      </c>
      <c r="P152" s="5"/>
      <c r="Q152" s="38">
        <f t="shared" si="31"/>
        <v>1542.0600000000559</v>
      </c>
      <c r="R152" s="58"/>
      <c r="S152" s="6"/>
      <c r="U152" s="7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ht="18" x14ac:dyDescent="0.25">
      <c r="A153" s="36">
        <f t="shared" si="33"/>
        <v>46149</v>
      </c>
      <c r="B153" s="37" t="s">
        <v>19</v>
      </c>
      <c r="C153" s="38">
        <f t="shared" si="32"/>
        <v>1542.0600000000559</v>
      </c>
      <c r="D153" s="15">
        <v>-20</v>
      </c>
      <c r="E153" s="15">
        <v>1546</v>
      </c>
      <c r="F153" s="15">
        <v>125</v>
      </c>
      <c r="G153" s="15"/>
      <c r="H153" s="15"/>
      <c r="I153" s="15"/>
      <c r="J153" s="15"/>
      <c r="K153" s="15"/>
      <c r="L153" s="38">
        <f t="shared" si="28"/>
        <v>1651</v>
      </c>
      <c r="M153" s="5"/>
      <c r="N153" s="38">
        <f t="shared" si="29"/>
        <v>1671</v>
      </c>
      <c r="O153" s="38">
        <f t="shared" si="30"/>
        <v>0</v>
      </c>
      <c r="P153" s="5"/>
      <c r="Q153" s="38">
        <f t="shared" si="31"/>
        <v>1522.0600000000559</v>
      </c>
      <c r="R153" s="58"/>
      <c r="S153" s="6"/>
      <c r="U153" s="7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ht="18" x14ac:dyDescent="0.25">
      <c r="A154" s="36">
        <f t="shared" si="33"/>
        <v>46150</v>
      </c>
      <c r="B154" s="37" t="s">
        <v>20</v>
      </c>
      <c r="C154" s="38">
        <f t="shared" si="32"/>
        <v>1522.0600000000559</v>
      </c>
      <c r="D154" s="15">
        <v>598</v>
      </c>
      <c r="E154" s="15">
        <v>3725</v>
      </c>
      <c r="F154" s="15">
        <v>656</v>
      </c>
      <c r="G154" s="15">
        <v>527</v>
      </c>
      <c r="H154" s="15"/>
      <c r="I154" s="15"/>
      <c r="J154" s="15"/>
      <c r="K154" s="15"/>
      <c r="L154" s="38">
        <f t="shared" si="28"/>
        <v>5506</v>
      </c>
      <c r="M154" s="5"/>
      <c r="N154" s="38">
        <f t="shared" si="29"/>
        <v>4908</v>
      </c>
      <c r="O154" s="38">
        <f t="shared" si="30"/>
        <v>0</v>
      </c>
      <c r="P154" s="5"/>
      <c r="Q154" s="38">
        <f t="shared" si="31"/>
        <v>2120.0600000000559</v>
      </c>
      <c r="R154" s="58"/>
      <c r="S154" s="6"/>
      <c r="T154" s="1"/>
      <c r="U154" s="7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ht="18" x14ac:dyDescent="0.25">
      <c r="A155" s="36">
        <f t="shared" si="33"/>
        <v>46151</v>
      </c>
      <c r="B155" s="37" t="s">
        <v>21</v>
      </c>
      <c r="C155" s="38">
        <f t="shared" si="32"/>
        <v>2120.0600000000559</v>
      </c>
      <c r="D155" s="15">
        <v>200</v>
      </c>
      <c r="E155" s="15">
        <v>1496</v>
      </c>
      <c r="F155" s="15">
        <v>922</v>
      </c>
      <c r="G155" s="15">
        <v>1189</v>
      </c>
      <c r="H155" s="15"/>
      <c r="I155" s="15"/>
      <c r="J155" s="15">
        <v>577</v>
      </c>
      <c r="K155" s="15"/>
      <c r="L155" s="38">
        <f t="shared" si="28"/>
        <v>4384</v>
      </c>
      <c r="M155" s="5"/>
      <c r="N155" s="38">
        <f t="shared" si="29"/>
        <v>3607</v>
      </c>
      <c r="O155" s="38">
        <f t="shared" si="30"/>
        <v>577</v>
      </c>
      <c r="P155" s="5"/>
      <c r="Q155" s="38">
        <f t="shared" si="31"/>
        <v>2320.0600000000559</v>
      </c>
      <c r="R155" s="58"/>
      <c r="S155" s="6"/>
      <c r="T155" s="1"/>
      <c r="U155" s="7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ht="18" x14ac:dyDescent="0.25">
      <c r="A156" s="36">
        <f t="shared" si="33"/>
        <v>46152</v>
      </c>
      <c r="B156" s="37" t="s">
        <v>22</v>
      </c>
      <c r="C156" s="38">
        <f t="shared" si="32"/>
        <v>2320.0600000000559</v>
      </c>
      <c r="D156" s="15">
        <v>0</v>
      </c>
      <c r="E156" s="15">
        <v>2098</v>
      </c>
      <c r="F156" s="15">
        <v>403</v>
      </c>
      <c r="G156" s="15"/>
      <c r="H156" s="15"/>
      <c r="I156" s="15"/>
      <c r="J156" s="15">
        <v>588</v>
      </c>
      <c r="K156" s="15"/>
      <c r="L156" s="38">
        <f t="shared" si="28"/>
        <v>3089</v>
      </c>
      <c r="M156" s="5"/>
      <c r="N156" s="38">
        <f t="shared" si="29"/>
        <v>2501</v>
      </c>
      <c r="O156" s="38">
        <f t="shared" si="30"/>
        <v>588</v>
      </c>
      <c r="P156" s="5"/>
      <c r="Q156" s="38">
        <f t="shared" si="31"/>
        <v>2320.0600000000559</v>
      </c>
      <c r="R156" s="58"/>
      <c r="S156" s="6"/>
      <c r="T156" s="1"/>
      <c r="U156" s="7"/>
      <c r="W156" s="7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ht="18" x14ac:dyDescent="0.25">
      <c r="A157" s="36">
        <f t="shared" si="33"/>
        <v>46153</v>
      </c>
      <c r="B157" s="37" t="s">
        <v>16</v>
      </c>
      <c r="C157" s="38">
        <f t="shared" si="32"/>
        <v>2320.0600000000559</v>
      </c>
      <c r="D157" s="15">
        <v>-101</v>
      </c>
      <c r="E157" s="15">
        <v>1621</v>
      </c>
      <c r="F157" s="15"/>
      <c r="G157" s="15"/>
      <c r="H157" s="15"/>
      <c r="I157" s="15"/>
      <c r="J157" s="15"/>
      <c r="K157" s="15"/>
      <c r="L157" s="38">
        <f t="shared" si="28"/>
        <v>1520</v>
      </c>
      <c r="M157" s="5"/>
      <c r="N157" s="38">
        <f t="shared" si="29"/>
        <v>1621</v>
      </c>
      <c r="O157" s="38">
        <f t="shared" si="30"/>
        <v>0</v>
      </c>
      <c r="P157" s="5"/>
      <c r="Q157" s="38">
        <f t="shared" si="31"/>
        <v>2219.0600000000559</v>
      </c>
      <c r="R157" s="58"/>
      <c r="S157" s="6"/>
      <c r="T157" s="1"/>
      <c r="U157" s="7"/>
      <c r="W157" s="7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ht="18" x14ac:dyDescent="0.25">
      <c r="A158" s="36">
        <f t="shared" si="33"/>
        <v>46154</v>
      </c>
      <c r="B158" s="37" t="s">
        <v>17</v>
      </c>
      <c r="C158" s="38">
        <f t="shared" si="32"/>
        <v>2219.0600000000559</v>
      </c>
      <c r="D158" s="15">
        <v>51</v>
      </c>
      <c r="E158" s="15">
        <v>1864</v>
      </c>
      <c r="F158" s="15">
        <v>90</v>
      </c>
      <c r="G158" s="15"/>
      <c r="H158" s="15"/>
      <c r="I158" s="15"/>
      <c r="J158" s="15"/>
      <c r="K158" s="15"/>
      <c r="L158" s="38">
        <f t="shared" si="28"/>
        <v>2005</v>
      </c>
      <c r="M158" s="5"/>
      <c r="N158" s="38">
        <f t="shared" si="29"/>
        <v>1954</v>
      </c>
      <c r="O158" s="38">
        <f t="shared" si="30"/>
        <v>0</v>
      </c>
      <c r="P158" s="5"/>
      <c r="Q158" s="38">
        <f t="shared" si="31"/>
        <v>2270.0600000000559</v>
      </c>
      <c r="R158" s="58"/>
      <c r="S158" s="6"/>
      <c r="T158" s="1"/>
      <c r="U158" s="7"/>
      <c r="W158" s="7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ht="18" x14ac:dyDescent="0.25">
      <c r="A159" s="36">
        <f t="shared" si="33"/>
        <v>46155</v>
      </c>
      <c r="B159" s="37" t="s">
        <v>18</v>
      </c>
      <c r="C159" s="38">
        <f t="shared" si="32"/>
        <v>2270.0600000000559</v>
      </c>
      <c r="D159" s="15">
        <v>937</v>
      </c>
      <c r="E159" s="15">
        <v>469</v>
      </c>
      <c r="F159" s="15">
        <v>250</v>
      </c>
      <c r="G159" s="15"/>
      <c r="H159" s="15"/>
      <c r="I159" s="15"/>
      <c r="J159" s="15"/>
      <c r="K159" s="15"/>
      <c r="L159" s="38">
        <f t="shared" si="28"/>
        <v>1656</v>
      </c>
      <c r="M159" s="5"/>
      <c r="N159" s="38">
        <f t="shared" si="29"/>
        <v>719</v>
      </c>
      <c r="O159" s="38">
        <f t="shared" si="30"/>
        <v>0</v>
      </c>
      <c r="P159" s="5"/>
      <c r="Q159" s="38">
        <f t="shared" si="31"/>
        <v>3207.0600000000559</v>
      </c>
      <c r="R159" s="58"/>
      <c r="S159" s="6"/>
      <c r="T159" s="1"/>
      <c r="U159" s="7"/>
      <c r="W159" s="7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ht="18" x14ac:dyDescent="0.25">
      <c r="A160" s="36">
        <f t="shared" si="33"/>
        <v>46156</v>
      </c>
      <c r="B160" s="37" t="s">
        <v>19</v>
      </c>
      <c r="C160" s="38">
        <f t="shared" si="32"/>
        <v>3207.0600000000559</v>
      </c>
      <c r="D160" s="15">
        <v>691</v>
      </c>
      <c r="E160" s="15">
        <v>2938.01</v>
      </c>
      <c r="F160" s="15">
        <v>161</v>
      </c>
      <c r="G160" s="15">
        <v>156</v>
      </c>
      <c r="H160" s="15"/>
      <c r="I160" s="15"/>
      <c r="J160" s="15">
        <v>246</v>
      </c>
      <c r="K160" s="15"/>
      <c r="L160" s="38">
        <f t="shared" si="28"/>
        <v>4192.01</v>
      </c>
      <c r="M160" s="5"/>
      <c r="N160" s="38">
        <f t="shared" si="29"/>
        <v>3255.01</v>
      </c>
      <c r="O160" s="38">
        <f t="shared" si="30"/>
        <v>246</v>
      </c>
      <c r="P160" s="5"/>
      <c r="Q160" s="38">
        <f t="shared" si="31"/>
        <v>3898.0600000000559</v>
      </c>
      <c r="R160" s="58"/>
      <c r="S160" s="6"/>
      <c r="T160" s="1"/>
      <c r="U160" s="7"/>
      <c r="W160" s="7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ht="18" x14ac:dyDescent="0.25">
      <c r="A161" s="36">
        <f t="shared" si="33"/>
        <v>46157</v>
      </c>
      <c r="B161" s="37" t="s">
        <v>20</v>
      </c>
      <c r="C161" s="38">
        <f t="shared" si="32"/>
        <v>3898.0600000000559</v>
      </c>
      <c r="D161" s="15">
        <v>1785</v>
      </c>
      <c r="E161" s="15">
        <v>2600</v>
      </c>
      <c r="F161" s="15"/>
      <c r="G161" s="15">
        <v>142</v>
      </c>
      <c r="H161" s="15"/>
      <c r="I161" s="15"/>
      <c r="J161" s="15">
        <v>233</v>
      </c>
      <c r="K161" s="15"/>
      <c r="L161" s="38">
        <f t="shared" si="28"/>
        <v>4760</v>
      </c>
      <c r="M161" s="5"/>
      <c r="N161" s="38">
        <f t="shared" si="29"/>
        <v>2742</v>
      </c>
      <c r="O161" s="38">
        <f t="shared" si="30"/>
        <v>233</v>
      </c>
      <c r="P161" s="5"/>
      <c r="Q161" s="38">
        <f t="shared" si="31"/>
        <v>5683.0600000000559</v>
      </c>
      <c r="R161" s="58"/>
      <c r="S161" s="6"/>
      <c r="T161" s="1"/>
      <c r="U161" s="7"/>
      <c r="W161" s="7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ht="18" x14ac:dyDescent="0.25">
      <c r="A162" s="36">
        <f t="shared" si="33"/>
        <v>46158</v>
      </c>
      <c r="B162" s="37" t="s">
        <v>21</v>
      </c>
      <c r="C162" s="38">
        <f t="shared" si="32"/>
        <v>5683.0600000000559</v>
      </c>
      <c r="D162" s="15">
        <v>224</v>
      </c>
      <c r="E162" s="15">
        <v>1853</v>
      </c>
      <c r="F162" s="15">
        <v>1561</v>
      </c>
      <c r="G162" s="15">
        <v>507</v>
      </c>
      <c r="H162" s="15"/>
      <c r="I162" s="15"/>
      <c r="J162" s="15"/>
      <c r="K162" s="15"/>
      <c r="L162" s="38">
        <f t="shared" si="28"/>
        <v>4145</v>
      </c>
      <c r="M162" s="5"/>
      <c r="N162" s="38">
        <f t="shared" si="29"/>
        <v>3921</v>
      </c>
      <c r="O162" s="38">
        <f t="shared" si="30"/>
        <v>0</v>
      </c>
      <c r="P162" s="5"/>
      <c r="Q162" s="38">
        <f t="shared" si="31"/>
        <v>5907.0600000000559</v>
      </c>
      <c r="R162" s="58"/>
      <c r="S162" s="6"/>
      <c r="T162" s="1"/>
      <c r="U162" s="7"/>
      <c r="W162" s="7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ht="18" x14ac:dyDescent="0.25">
      <c r="A163" s="36">
        <f t="shared" si="33"/>
        <v>46159</v>
      </c>
      <c r="B163" s="37" t="s">
        <v>22</v>
      </c>
      <c r="C163" s="38">
        <f t="shared" si="32"/>
        <v>5907.0600000000559</v>
      </c>
      <c r="D163" s="15">
        <v>2</v>
      </c>
      <c r="E163" s="15">
        <v>389</v>
      </c>
      <c r="F163" s="15">
        <v>679</v>
      </c>
      <c r="G163" s="15">
        <v>516</v>
      </c>
      <c r="H163" s="15"/>
      <c r="I163" s="15"/>
      <c r="J163" s="15"/>
      <c r="K163" s="15"/>
      <c r="L163" s="38">
        <f t="shared" si="28"/>
        <v>1586</v>
      </c>
      <c r="M163" s="5"/>
      <c r="N163" s="38">
        <f t="shared" si="29"/>
        <v>1584</v>
      </c>
      <c r="O163" s="38">
        <f t="shared" si="30"/>
        <v>0</v>
      </c>
      <c r="P163" s="5"/>
      <c r="Q163" s="38">
        <f t="shared" si="31"/>
        <v>5909.0600000000559</v>
      </c>
      <c r="R163" s="58"/>
      <c r="S163" s="6"/>
      <c r="T163" s="1"/>
      <c r="U163" s="7"/>
      <c r="W163" s="7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ht="18" x14ac:dyDescent="0.25">
      <c r="A164" s="36">
        <f t="shared" si="33"/>
        <v>46160</v>
      </c>
      <c r="B164" s="37" t="s">
        <v>16</v>
      </c>
      <c r="C164" s="38">
        <f t="shared" si="32"/>
        <v>5909.0600000000559</v>
      </c>
      <c r="D164" s="15">
        <v>282</v>
      </c>
      <c r="E164" s="15">
        <v>922</v>
      </c>
      <c r="F164" s="15">
        <v>250</v>
      </c>
      <c r="G164" s="15"/>
      <c r="H164" s="15"/>
      <c r="I164" s="15"/>
      <c r="J164" s="15">
        <v>129</v>
      </c>
      <c r="K164" s="15"/>
      <c r="L164" s="38">
        <f t="shared" si="28"/>
        <v>1583</v>
      </c>
      <c r="M164" s="5"/>
      <c r="N164" s="38">
        <f t="shared" si="29"/>
        <v>1172</v>
      </c>
      <c r="O164" s="38">
        <f t="shared" si="30"/>
        <v>129</v>
      </c>
      <c r="P164" s="5"/>
      <c r="Q164" s="38">
        <f t="shared" si="31"/>
        <v>6191.0600000000559</v>
      </c>
      <c r="R164" s="58"/>
      <c r="S164" s="6"/>
      <c r="T164" s="1"/>
      <c r="U164" s="7"/>
      <c r="W164" s="7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ht="18" x14ac:dyDescent="0.25">
      <c r="A165" s="36">
        <f t="shared" si="33"/>
        <v>46161</v>
      </c>
      <c r="B165" s="37" t="s">
        <v>17</v>
      </c>
      <c r="C165" s="38">
        <f t="shared" si="32"/>
        <v>6191.0600000000559</v>
      </c>
      <c r="D165" s="15">
        <v>234</v>
      </c>
      <c r="E165" s="15">
        <v>1418</v>
      </c>
      <c r="F165" s="15">
        <v>117</v>
      </c>
      <c r="G165" s="15"/>
      <c r="H165" s="15"/>
      <c r="I165" s="15"/>
      <c r="J165" s="15"/>
      <c r="K165" s="15"/>
      <c r="L165" s="38">
        <f t="shared" si="28"/>
        <v>1769</v>
      </c>
      <c r="M165" s="5"/>
      <c r="N165" s="38">
        <f t="shared" si="29"/>
        <v>1535</v>
      </c>
      <c r="O165" s="38">
        <f t="shared" si="30"/>
        <v>0</v>
      </c>
      <c r="P165" s="5"/>
      <c r="Q165" s="38">
        <f t="shared" si="31"/>
        <v>6425.0600000000559</v>
      </c>
      <c r="R165" s="58"/>
      <c r="S165" s="6"/>
      <c r="T165" s="1"/>
      <c r="U165" s="7"/>
      <c r="W165" s="7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ht="18" x14ac:dyDescent="0.25">
      <c r="A166" s="36">
        <f t="shared" si="33"/>
        <v>46162</v>
      </c>
      <c r="B166" s="37" t="s">
        <v>25</v>
      </c>
      <c r="C166" s="38">
        <f t="shared" si="32"/>
        <v>6425.0600000000559</v>
      </c>
      <c r="D166" s="15">
        <v>362</v>
      </c>
      <c r="E166" s="15">
        <v>2814</v>
      </c>
      <c r="F166" s="15">
        <v>39</v>
      </c>
      <c r="G166" s="15">
        <v>129</v>
      </c>
      <c r="H166" s="15"/>
      <c r="I166" s="15"/>
      <c r="J166" s="15"/>
      <c r="K166" s="15"/>
      <c r="L166" s="38">
        <f t="shared" si="28"/>
        <v>3344</v>
      </c>
      <c r="M166" s="5">
        <v>5000</v>
      </c>
      <c r="N166" s="38">
        <f t="shared" si="29"/>
        <v>2982</v>
      </c>
      <c r="O166" s="38">
        <f t="shared" si="30"/>
        <v>0</v>
      </c>
      <c r="P166" s="5"/>
      <c r="Q166" s="38">
        <f t="shared" si="31"/>
        <v>1787.0600000000559</v>
      </c>
      <c r="R166" s="58"/>
      <c r="S166" s="6" t="s">
        <v>89</v>
      </c>
      <c r="T166" s="1"/>
      <c r="U166" s="7"/>
      <c r="W166" s="7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ht="18" x14ac:dyDescent="0.25">
      <c r="A167" s="36">
        <f t="shared" si="33"/>
        <v>46163</v>
      </c>
      <c r="B167" s="37" t="s">
        <v>19</v>
      </c>
      <c r="C167" s="38">
        <f t="shared" si="32"/>
        <v>1787.0600000000559</v>
      </c>
      <c r="D167" s="15">
        <v>115</v>
      </c>
      <c r="E167" s="15">
        <v>4829</v>
      </c>
      <c r="F167" s="15">
        <v>642</v>
      </c>
      <c r="G167" s="15"/>
      <c r="H167" s="15"/>
      <c r="I167" s="15"/>
      <c r="J167" s="15"/>
      <c r="K167" s="15"/>
      <c r="L167" s="38">
        <f t="shared" si="28"/>
        <v>5586</v>
      </c>
      <c r="M167" s="5"/>
      <c r="N167" s="38">
        <f t="shared" si="29"/>
        <v>5471</v>
      </c>
      <c r="O167" s="38">
        <f t="shared" si="30"/>
        <v>0</v>
      </c>
      <c r="P167" s="5"/>
      <c r="Q167" s="38">
        <f t="shared" si="31"/>
        <v>1902.0600000000559</v>
      </c>
      <c r="R167" s="58"/>
      <c r="S167" s="6"/>
      <c r="T167" s="1"/>
      <c r="U167" s="7"/>
      <c r="W167" s="7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ht="18" x14ac:dyDescent="0.25">
      <c r="A168" s="36">
        <f t="shared" si="33"/>
        <v>46164</v>
      </c>
      <c r="B168" s="37" t="s">
        <v>20</v>
      </c>
      <c r="C168" s="38">
        <f t="shared" si="32"/>
        <v>1902.0600000000559</v>
      </c>
      <c r="D168" s="15">
        <v>1673</v>
      </c>
      <c r="E168" s="15">
        <v>4958</v>
      </c>
      <c r="F168" s="15">
        <v>640</v>
      </c>
      <c r="G168" s="15"/>
      <c r="H168" s="15"/>
      <c r="I168" s="15"/>
      <c r="J168" s="15"/>
      <c r="K168" s="15"/>
      <c r="L168" s="38">
        <f t="shared" si="28"/>
        <v>7271</v>
      </c>
      <c r="M168" s="5"/>
      <c r="N168" s="38">
        <f t="shared" si="29"/>
        <v>5598</v>
      </c>
      <c r="O168" s="38">
        <f t="shared" si="30"/>
        <v>0</v>
      </c>
      <c r="P168" s="5"/>
      <c r="Q168" s="38">
        <f t="shared" si="31"/>
        <v>3575.0600000000559</v>
      </c>
      <c r="R168" s="58"/>
      <c r="S168" s="6"/>
      <c r="T168" s="1"/>
      <c r="U168" s="7"/>
      <c r="W168" s="7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ht="18" x14ac:dyDescent="0.25">
      <c r="A169" s="36">
        <f t="shared" si="33"/>
        <v>46165</v>
      </c>
      <c r="B169" s="37" t="s">
        <v>21</v>
      </c>
      <c r="C169" s="38">
        <f t="shared" si="32"/>
        <v>3575.0600000000559</v>
      </c>
      <c r="D169" s="15">
        <v>533</v>
      </c>
      <c r="E169" s="15">
        <v>5655</v>
      </c>
      <c r="F169" s="15">
        <v>1289</v>
      </c>
      <c r="G169" s="15"/>
      <c r="H169" s="15"/>
      <c r="I169" s="15"/>
      <c r="J169" s="15"/>
      <c r="K169" s="15"/>
      <c r="L169" s="38">
        <f t="shared" si="28"/>
        <v>7477</v>
      </c>
      <c r="M169" s="5"/>
      <c r="N169" s="38">
        <f t="shared" si="29"/>
        <v>6944</v>
      </c>
      <c r="O169" s="38">
        <f t="shared" si="30"/>
        <v>0</v>
      </c>
      <c r="P169" s="5"/>
      <c r="Q169" s="38">
        <f t="shared" si="31"/>
        <v>4108.0600000000559</v>
      </c>
      <c r="R169" s="58"/>
      <c r="S169" s="6"/>
      <c r="T169" s="1"/>
      <c r="U169" s="7"/>
      <c r="W169" s="7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ht="18" x14ac:dyDescent="0.25">
      <c r="A170" s="36">
        <f t="shared" si="33"/>
        <v>46166</v>
      </c>
      <c r="B170" s="37" t="s">
        <v>23</v>
      </c>
      <c r="C170" s="38">
        <f t="shared" si="32"/>
        <v>4108.0600000000559</v>
      </c>
      <c r="D170" s="15">
        <v>1657</v>
      </c>
      <c r="E170" s="15">
        <v>9814</v>
      </c>
      <c r="F170" s="15">
        <v>776</v>
      </c>
      <c r="G170" s="15">
        <v>597</v>
      </c>
      <c r="H170" s="15"/>
      <c r="I170" s="15"/>
      <c r="J170" s="15"/>
      <c r="K170" s="15"/>
      <c r="L170" s="38">
        <f t="shared" si="28"/>
        <v>12844</v>
      </c>
      <c r="M170" s="5"/>
      <c r="N170" s="38">
        <f t="shared" si="29"/>
        <v>11187</v>
      </c>
      <c r="O170" s="38">
        <f t="shared" si="30"/>
        <v>0</v>
      </c>
      <c r="P170" s="5"/>
      <c r="Q170" s="38">
        <f t="shared" si="31"/>
        <v>5765.0600000000559</v>
      </c>
      <c r="R170" s="58"/>
      <c r="S170" s="6"/>
      <c r="T170" s="1"/>
      <c r="U170" s="7"/>
      <c r="W170" s="7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ht="18" x14ac:dyDescent="0.25">
      <c r="A171" s="36">
        <f t="shared" si="33"/>
        <v>46167</v>
      </c>
      <c r="B171" s="37" t="s">
        <v>16</v>
      </c>
      <c r="C171" s="38">
        <f t="shared" si="32"/>
        <v>5765.0600000000559</v>
      </c>
      <c r="D171" s="15">
        <v>1107</v>
      </c>
      <c r="E171" s="15">
        <v>10375</v>
      </c>
      <c r="F171" s="15">
        <v>322</v>
      </c>
      <c r="G171" s="15"/>
      <c r="H171" s="15"/>
      <c r="I171" s="15"/>
      <c r="J171" s="15"/>
      <c r="K171" s="15"/>
      <c r="L171" s="38">
        <f t="shared" si="28"/>
        <v>11804</v>
      </c>
      <c r="M171" s="5"/>
      <c r="N171" s="38">
        <f t="shared" si="29"/>
        <v>10697</v>
      </c>
      <c r="O171" s="38">
        <f t="shared" si="30"/>
        <v>0</v>
      </c>
      <c r="P171" s="5"/>
      <c r="Q171" s="38">
        <f t="shared" si="31"/>
        <v>6872.0600000000559</v>
      </c>
      <c r="R171" s="58"/>
      <c r="S171" s="6"/>
      <c r="T171" s="1"/>
      <c r="U171" s="7"/>
      <c r="W171" s="7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ht="18" x14ac:dyDescent="0.25">
      <c r="A172" s="36">
        <f t="shared" si="33"/>
        <v>46168</v>
      </c>
      <c r="B172" s="37" t="s">
        <v>17</v>
      </c>
      <c r="C172" s="38">
        <f t="shared" si="32"/>
        <v>6872.0600000000559</v>
      </c>
      <c r="D172" s="15">
        <v>655</v>
      </c>
      <c r="E172" s="15">
        <v>15340</v>
      </c>
      <c r="F172" s="15">
        <v>2123</v>
      </c>
      <c r="G172" s="15">
        <v>763</v>
      </c>
      <c r="H172" s="15"/>
      <c r="I172" s="15"/>
      <c r="J172" s="15">
        <v>697</v>
      </c>
      <c r="K172" s="15"/>
      <c r="L172" s="38">
        <f t="shared" si="28"/>
        <v>19578</v>
      </c>
      <c r="M172" s="5"/>
      <c r="N172" s="38">
        <f t="shared" si="29"/>
        <v>18226</v>
      </c>
      <c r="O172" s="38">
        <f t="shared" si="30"/>
        <v>697</v>
      </c>
      <c r="P172" s="5"/>
      <c r="Q172" s="38">
        <f t="shared" si="31"/>
        <v>7527.0600000000559</v>
      </c>
      <c r="R172" s="58"/>
      <c r="S172" s="6"/>
      <c r="T172" s="1"/>
      <c r="U172" s="7"/>
      <c r="W172" s="7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ht="18" x14ac:dyDescent="0.25">
      <c r="A173" s="36">
        <f t="shared" si="33"/>
        <v>46169</v>
      </c>
      <c r="B173" s="37" t="s">
        <v>25</v>
      </c>
      <c r="C173" s="38">
        <f t="shared" si="32"/>
        <v>7527.0600000000559</v>
      </c>
      <c r="D173" s="15">
        <v>50</v>
      </c>
      <c r="E173" s="15">
        <v>1570</v>
      </c>
      <c r="F173" s="15">
        <v>1029</v>
      </c>
      <c r="G173" s="15"/>
      <c r="H173" s="15"/>
      <c r="I173" s="15"/>
      <c r="J173" s="15"/>
      <c r="K173" s="15"/>
      <c r="L173" s="38">
        <f t="shared" si="28"/>
        <v>2649</v>
      </c>
      <c r="M173" s="5"/>
      <c r="N173" s="38">
        <f t="shared" si="29"/>
        <v>2599</v>
      </c>
      <c r="O173" s="38">
        <f t="shared" si="30"/>
        <v>0</v>
      </c>
      <c r="P173" s="5"/>
      <c r="Q173" s="38">
        <f t="shared" si="31"/>
        <v>7577.0600000000559</v>
      </c>
      <c r="R173" s="58"/>
      <c r="S173" s="6"/>
      <c r="T173" s="1"/>
      <c r="U173" s="7"/>
      <c r="W173" s="7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ht="18" x14ac:dyDescent="0.25">
      <c r="A174" s="36">
        <f t="shared" si="33"/>
        <v>46170</v>
      </c>
      <c r="B174" s="37" t="s">
        <v>19</v>
      </c>
      <c r="C174" s="38">
        <f t="shared" si="32"/>
        <v>7577.0600000000559</v>
      </c>
      <c r="D174" s="15">
        <v>158</v>
      </c>
      <c r="E174" s="15">
        <v>879</v>
      </c>
      <c r="F174" s="15">
        <v>335</v>
      </c>
      <c r="G174" s="15"/>
      <c r="H174" s="15"/>
      <c r="I174" s="15"/>
      <c r="J174" s="15">
        <v>299</v>
      </c>
      <c r="K174" s="15"/>
      <c r="L174" s="38">
        <f t="shared" si="28"/>
        <v>1671</v>
      </c>
      <c r="M174" s="5"/>
      <c r="N174" s="38">
        <f t="shared" si="29"/>
        <v>1214</v>
      </c>
      <c r="O174" s="38">
        <f t="shared" si="30"/>
        <v>299</v>
      </c>
      <c r="P174" s="5"/>
      <c r="Q174" s="38">
        <f t="shared" si="31"/>
        <v>7735.0600000000559</v>
      </c>
      <c r="R174" s="58"/>
      <c r="S174" s="6"/>
      <c r="T174" s="1"/>
      <c r="U174" s="7"/>
      <c r="W174" s="7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ht="18" x14ac:dyDescent="0.25">
      <c r="A175" s="36">
        <f t="shared" si="33"/>
        <v>46171</v>
      </c>
      <c r="B175" s="37" t="s">
        <v>20</v>
      </c>
      <c r="C175" s="38">
        <f t="shared" si="32"/>
        <v>7735.0600000000559</v>
      </c>
      <c r="D175" s="15">
        <v>69</v>
      </c>
      <c r="E175" s="15">
        <v>1255</v>
      </c>
      <c r="F175" s="15">
        <v>396</v>
      </c>
      <c r="G175" s="15">
        <v>170</v>
      </c>
      <c r="H175" s="15"/>
      <c r="I175" s="15"/>
      <c r="J175" s="15">
        <v>249</v>
      </c>
      <c r="K175" s="15"/>
      <c r="L175" s="38">
        <f t="shared" si="28"/>
        <v>2139</v>
      </c>
      <c r="M175" s="5"/>
      <c r="N175" s="38">
        <f t="shared" si="29"/>
        <v>1821</v>
      </c>
      <c r="O175" s="38">
        <f t="shared" si="30"/>
        <v>249</v>
      </c>
      <c r="P175" s="5"/>
      <c r="Q175" s="38">
        <f t="shared" si="31"/>
        <v>7804.0600000000559</v>
      </c>
      <c r="R175" s="58"/>
      <c r="S175" s="6"/>
      <c r="T175" s="1"/>
      <c r="U175" s="7"/>
      <c r="W175" s="7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ht="18.75" thickBot="1" x14ac:dyDescent="0.3">
      <c r="A176" s="36">
        <f t="shared" si="33"/>
        <v>46172</v>
      </c>
      <c r="B176" s="75" t="s">
        <v>21</v>
      </c>
      <c r="C176" s="38">
        <f t="shared" si="32"/>
        <v>7804.0600000000559</v>
      </c>
      <c r="D176" s="15">
        <v>963</v>
      </c>
      <c r="E176" s="15">
        <v>2808</v>
      </c>
      <c r="F176" s="15">
        <v>137</v>
      </c>
      <c r="G176" s="15"/>
      <c r="H176" s="15"/>
      <c r="I176" s="15"/>
      <c r="J176" s="15"/>
      <c r="K176" s="15"/>
      <c r="L176" s="38">
        <f t="shared" si="28"/>
        <v>3908</v>
      </c>
      <c r="M176" s="5">
        <v>4700</v>
      </c>
      <c r="N176" s="38">
        <f t="shared" si="29"/>
        <v>2945</v>
      </c>
      <c r="O176" s="38">
        <f t="shared" si="30"/>
        <v>0</v>
      </c>
      <c r="P176" s="5"/>
      <c r="Q176" s="38">
        <f t="shared" si="31"/>
        <v>4067.0600000000559</v>
      </c>
      <c r="R176" s="58"/>
      <c r="S176" s="6" t="s">
        <v>90</v>
      </c>
      <c r="T176" s="1"/>
      <c r="U176" s="7"/>
      <c r="W176" s="7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ht="19.5" thickTop="1" thickBot="1" x14ac:dyDescent="0.3">
      <c r="A177" s="49">
        <f t="shared" si="33"/>
        <v>46173</v>
      </c>
      <c r="B177" s="75" t="s">
        <v>23</v>
      </c>
      <c r="C177" s="40">
        <f t="shared" si="32"/>
        <v>4067.0600000000559</v>
      </c>
      <c r="D177" s="16">
        <v>129</v>
      </c>
      <c r="E177" s="16">
        <v>1686</v>
      </c>
      <c r="F177" s="16">
        <v>189</v>
      </c>
      <c r="G177" s="16"/>
      <c r="H177" s="16"/>
      <c r="I177" s="16"/>
      <c r="J177" s="16"/>
      <c r="K177" s="16"/>
      <c r="L177" s="40">
        <f t="shared" si="28"/>
        <v>2004</v>
      </c>
      <c r="M177" s="19"/>
      <c r="N177" s="40">
        <f t="shared" si="29"/>
        <v>1875</v>
      </c>
      <c r="O177" s="40">
        <f t="shared" si="30"/>
        <v>0</v>
      </c>
      <c r="P177" s="19"/>
      <c r="Q177" s="40">
        <f t="shared" si="31"/>
        <v>4196.0600000000559</v>
      </c>
      <c r="R177" s="60"/>
      <c r="S177" s="12"/>
      <c r="T177" s="1"/>
      <c r="U177" s="7"/>
      <c r="W177" s="7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ht="19.5" thickTop="1" thickBot="1" x14ac:dyDescent="0.3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1"/>
      <c r="U178" s="7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ht="19.5" thickTop="1" thickBot="1" x14ac:dyDescent="0.3">
      <c r="A179" s="84"/>
      <c r="B179" s="85"/>
      <c r="C179" s="86"/>
      <c r="D179" s="13">
        <f t="shared" ref="D179:P179" si="34">SUM(D147:D177)</f>
        <v>15983</v>
      </c>
      <c r="E179" s="13">
        <f t="shared" si="34"/>
        <v>104399.01000000001</v>
      </c>
      <c r="F179" s="13">
        <f t="shared" si="34"/>
        <v>16666</v>
      </c>
      <c r="G179" s="13">
        <f t="shared" si="34"/>
        <v>5301</v>
      </c>
      <c r="H179" s="13">
        <f t="shared" si="34"/>
        <v>0</v>
      </c>
      <c r="I179" s="13">
        <f t="shared" si="34"/>
        <v>0</v>
      </c>
      <c r="J179" s="13">
        <f t="shared" si="34"/>
        <v>4112</v>
      </c>
      <c r="K179" s="13">
        <f t="shared" si="34"/>
        <v>0</v>
      </c>
      <c r="L179" s="38">
        <f t="shared" si="34"/>
        <v>146461.01</v>
      </c>
      <c r="M179" s="13">
        <f t="shared" si="34"/>
        <v>15500</v>
      </c>
      <c r="N179" s="38">
        <f t="shared" si="34"/>
        <v>126366.01000000001</v>
      </c>
      <c r="O179" s="38">
        <f t="shared" si="34"/>
        <v>4112</v>
      </c>
      <c r="P179" s="13">
        <f t="shared" si="34"/>
        <v>0</v>
      </c>
      <c r="Q179" s="38">
        <f>C147+C179+L179+-M179-N179-O179-P179</f>
        <v>4196.0600000000559</v>
      </c>
      <c r="R179" s="63"/>
      <c r="S179" s="14"/>
      <c r="U179" s="7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ht="19.5" thickTop="1" thickBot="1" x14ac:dyDescent="0.3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1"/>
      <c r="U180" s="7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ht="20.25" customHeight="1" thickTop="1" thickBot="1" x14ac:dyDescent="0.3">
      <c r="A181" s="94" t="s">
        <v>0</v>
      </c>
      <c r="B181" s="96" t="s">
        <v>1</v>
      </c>
      <c r="C181" s="98" t="s">
        <v>2</v>
      </c>
      <c r="D181" s="80" t="s">
        <v>3</v>
      </c>
      <c r="E181" s="100" t="s">
        <v>4</v>
      </c>
      <c r="F181" s="101"/>
      <c r="G181" s="101"/>
      <c r="H181" s="101"/>
      <c r="I181" s="101"/>
      <c r="J181" s="101"/>
      <c r="K181" s="102"/>
      <c r="L181" s="80" t="s">
        <v>5</v>
      </c>
      <c r="M181" s="80" t="s">
        <v>6</v>
      </c>
      <c r="N181" s="80" t="s">
        <v>7</v>
      </c>
      <c r="O181" s="80" t="s">
        <v>8</v>
      </c>
      <c r="P181" s="80" t="s">
        <v>9</v>
      </c>
      <c r="Q181" s="82" t="s">
        <v>10</v>
      </c>
      <c r="R181" s="82" t="s">
        <v>34</v>
      </c>
      <c r="S181" s="82" t="s">
        <v>11</v>
      </c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ht="19.5" thickTop="1" thickBot="1" x14ac:dyDescent="0.3">
      <c r="A182" s="95"/>
      <c r="B182" s="97"/>
      <c r="C182" s="99"/>
      <c r="D182" s="81"/>
      <c r="E182" s="41" t="s">
        <v>12</v>
      </c>
      <c r="F182" s="42" t="s">
        <v>13</v>
      </c>
      <c r="G182" s="41" t="s">
        <v>14</v>
      </c>
      <c r="H182" s="41" t="s">
        <v>15</v>
      </c>
      <c r="I182" s="41" t="s">
        <v>45</v>
      </c>
      <c r="J182" s="42" t="s">
        <v>44</v>
      </c>
      <c r="K182" s="42" t="s">
        <v>46</v>
      </c>
      <c r="L182" s="81"/>
      <c r="M182" s="81"/>
      <c r="N182" s="81"/>
      <c r="O182" s="81"/>
      <c r="P182" s="81"/>
      <c r="Q182" s="83"/>
      <c r="R182" s="83"/>
      <c r="S182" s="83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ht="18.75" thickTop="1" x14ac:dyDescent="0.25">
      <c r="A183" s="36">
        <f>A177+1</f>
        <v>46174</v>
      </c>
      <c r="B183" s="37" t="s">
        <v>16</v>
      </c>
      <c r="C183" s="38">
        <f>SUM(Q177)</f>
        <v>4196.0600000000559</v>
      </c>
      <c r="D183" s="2">
        <v>523</v>
      </c>
      <c r="E183" s="2">
        <v>1492</v>
      </c>
      <c r="F183" s="2">
        <v>57</v>
      </c>
      <c r="G183" s="2"/>
      <c r="H183" s="2"/>
      <c r="I183" s="2"/>
      <c r="J183" s="2"/>
      <c r="K183" s="2"/>
      <c r="L183" s="38">
        <f t="shared" ref="L183:L212" si="35">SUM(D183:K183)</f>
        <v>2072</v>
      </c>
      <c r="M183" s="17"/>
      <c r="N183" s="38">
        <f t="shared" ref="N183:N212" si="36">SUM(E183+F183+G183+H183)</f>
        <v>1549</v>
      </c>
      <c r="O183" s="38">
        <f t="shared" ref="O183:O212" si="37">I183+K183+J183</f>
        <v>0</v>
      </c>
      <c r="P183" s="5"/>
      <c r="Q183" s="38">
        <f t="shared" ref="Q183:Q212" si="38">C183+L183+-M183-N183-O183-P183</f>
        <v>4719.0600000000559</v>
      </c>
      <c r="R183" s="58"/>
      <c r="S183" s="6"/>
      <c r="T183" s="1"/>
      <c r="U183" s="7"/>
      <c r="W183" s="7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ht="18" x14ac:dyDescent="0.25">
      <c r="A184" s="36">
        <f>A183+1</f>
        <v>46175</v>
      </c>
      <c r="B184" s="37" t="s">
        <v>17</v>
      </c>
      <c r="C184" s="38">
        <f t="shared" ref="C184:C212" si="39">Q183</f>
        <v>4719.0600000000559</v>
      </c>
      <c r="D184" s="2">
        <v>225</v>
      </c>
      <c r="E184" s="2">
        <v>1680</v>
      </c>
      <c r="F184" s="2">
        <v>636</v>
      </c>
      <c r="G184" s="2"/>
      <c r="H184" s="2"/>
      <c r="I184" s="2"/>
      <c r="J184" s="2"/>
      <c r="K184" s="2"/>
      <c r="L184" s="38">
        <f t="shared" si="35"/>
        <v>2541</v>
      </c>
      <c r="M184" s="17"/>
      <c r="N184" s="38">
        <f t="shared" si="36"/>
        <v>2316</v>
      </c>
      <c r="O184" s="38">
        <f t="shared" si="37"/>
        <v>0</v>
      </c>
      <c r="P184" s="5"/>
      <c r="Q184" s="38">
        <f t="shared" si="38"/>
        <v>4944.0600000000559</v>
      </c>
      <c r="R184" s="58"/>
      <c r="S184" s="6"/>
      <c r="T184" s="1"/>
      <c r="U184" s="7"/>
      <c r="W184" s="7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ht="18" x14ac:dyDescent="0.25">
      <c r="A185" s="36">
        <f t="shared" ref="A185:A212" si="40">A184+1</f>
        <v>46176</v>
      </c>
      <c r="B185" s="37" t="s">
        <v>18</v>
      </c>
      <c r="C185" s="38">
        <f t="shared" si="39"/>
        <v>4944.0600000000559</v>
      </c>
      <c r="D185" s="2">
        <v>198</v>
      </c>
      <c r="E185" s="2">
        <v>595</v>
      </c>
      <c r="F185" s="2"/>
      <c r="G185" s="2"/>
      <c r="H185" s="2"/>
      <c r="I185" s="2"/>
      <c r="J185" s="2"/>
      <c r="K185" s="2"/>
      <c r="L185" s="38">
        <f t="shared" si="35"/>
        <v>793</v>
      </c>
      <c r="M185" s="17"/>
      <c r="N185" s="38">
        <f t="shared" si="36"/>
        <v>595</v>
      </c>
      <c r="O185" s="38">
        <f t="shared" si="37"/>
        <v>0</v>
      </c>
      <c r="P185" s="5"/>
      <c r="Q185" s="38">
        <f t="shared" si="38"/>
        <v>5142.0600000000559</v>
      </c>
      <c r="R185" s="58"/>
      <c r="S185" s="6"/>
      <c r="T185" s="1"/>
      <c r="U185" s="7"/>
      <c r="W185" s="7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ht="18" x14ac:dyDescent="0.25">
      <c r="A186" s="36">
        <f t="shared" si="40"/>
        <v>46177</v>
      </c>
      <c r="B186" s="37" t="s">
        <v>19</v>
      </c>
      <c r="C186" s="38">
        <f t="shared" si="39"/>
        <v>5142.0600000000559</v>
      </c>
      <c r="D186" s="2">
        <v>371</v>
      </c>
      <c r="E186" s="2">
        <v>2149</v>
      </c>
      <c r="F186" s="2">
        <v>189</v>
      </c>
      <c r="G186" s="2"/>
      <c r="H186" s="2"/>
      <c r="I186" s="2"/>
      <c r="J186" s="2">
        <v>360</v>
      </c>
      <c r="K186" s="2"/>
      <c r="L186" s="38">
        <f t="shared" si="35"/>
        <v>3069</v>
      </c>
      <c r="M186" s="17"/>
      <c r="N186" s="38">
        <f t="shared" si="36"/>
        <v>2338</v>
      </c>
      <c r="O186" s="38">
        <f t="shared" si="37"/>
        <v>360</v>
      </c>
      <c r="P186" s="5"/>
      <c r="Q186" s="38">
        <f t="shared" si="38"/>
        <v>5513.0600000000559</v>
      </c>
      <c r="R186" s="58"/>
      <c r="S186" s="6"/>
      <c r="T186" s="1"/>
      <c r="U186" s="7"/>
      <c r="W186" s="7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ht="18" x14ac:dyDescent="0.25">
      <c r="A187" s="36">
        <f t="shared" si="40"/>
        <v>46178</v>
      </c>
      <c r="B187" s="37" t="s">
        <v>20</v>
      </c>
      <c r="C187" s="38">
        <f t="shared" si="39"/>
        <v>5513.0600000000559</v>
      </c>
      <c r="D187" s="2">
        <v>199</v>
      </c>
      <c r="E187" s="2">
        <v>966</v>
      </c>
      <c r="F187" s="2"/>
      <c r="G187" s="2">
        <v>118</v>
      </c>
      <c r="H187" s="2"/>
      <c r="I187" s="2"/>
      <c r="J187" s="2"/>
      <c r="K187" s="2"/>
      <c r="L187" s="38">
        <f t="shared" si="35"/>
        <v>1283</v>
      </c>
      <c r="M187" s="17"/>
      <c r="N187" s="38">
        <f t="shared" si="36"/>
        <v>1084</v>
      </c>
      <c r="O187" s="38">
        <f t="shared" si="37"/>
        <v>0</v>
      </c>
      <c r="P187" s="5"/>
      <c r="Q187" s="38">
        <f t="shared" si="38"/>
        <v>5712.0600000000559</v>
      </c>
      <c r="R187" s="58"/>
      <c r="S187" s="6"/>
      <c r="T187" s="1"/>
      <c r="U187" s="7"/>
      <c r="W187" s="7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ht="18" x14ac:dyDescent="0.25">
      <c r="A188" s="36">
        <f t="shared" si="40"/>
        <v>46179</v>
      </c>
      <c r="B188" s="37" t="s">
        <v>21</v>
      </c>
      <c r="C188" s="38">
        <f t="shared" si="39"/>
        <v>5712.0600000000559</v>
      </c>
      <c r="D188" s="2">
        <v>165</v>
      </c>
      <c r="E188" s="2">
        <v>1059</v>
      </c>
      <c r="F188" s="2">
        <v>263</v>
      </c>
      <c r="G188" s="2"/>
      <c r="H188" s="2"/>
      <c r="I188" s="2"/>
      <c r="J188" s="2"/>
      <c r="K188" s="2"/>
      <c r="L188" s="38">
        <f t="shared" si="35"/>
        <v>1487</v>
      </c>
      <c r="M188" s="17"/>
      <c r="N188" s="38">
        <f t="shared" si="36"/>
        <v>1322</v>
      </c>
      <c r="O188" s="38">
        <f t="shared" si="37"/>
        <v>0</v>
      </c>
      <c r="P188" s="5"/>
      <c r="Q188" s="38">
        <f t="shared" si="38"/>
        <v>5877.0600000000559</v>
      </c>
      <c r="R188" s="58"/>
      <c r="S188" s="6"/>
      <c r="T188" s="1"/>
      <c r="U188" s="7"/>
      <c r="W188" s="7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ht="18" x14ac:dyDescent="0.25">
      <c r="A189" s="36">
        <f t="shared" si="40"/>
        <v>46180</v>
      </c>
      <c r="B189" s="37" t="s">
        <v>22</v>
      </c>
      <c r="C189" s="38">
        <f t="shared" si="39"/>
        <v>5877.0600000000559</v>
      </c>
      <c r="D189" s="2">
        <v>249</v>
      </c>
      <c r="E189" s="2">
        <v>2003</v>
      </c>
      <c r="F189" s="2">
        <v>149</v>
      </c>
      <c r="G189" s="2">
        <v>588</v>
      </c>
      <c r="H189" s="2"/>
      <c r="I189" s="2"/>
      <c r="J189" s="2"/>
      <c r="K189" s="2"/>
      <c r="L189" s="38">
        <f t="shared" si="35"/>
        <v>2989</v>
      </c>
      <c r="M189" s="17"/>
      <c r="N189" s="38">
        <f t="shared" si="36"/>
        <v>2740</v>
      </c>
      <c r="O189" s="38">
        <f t="shared" si="37"/>
        <v>0</v>
      </c>
      <c r="P189" s="5"/>
      <c r="Q189" s="38">
        <f t="shared" si="38"/>
        <v>6126.0600000000559</v>
      </c>
      <c r="R189" s="58"/>
      <c r="S189" s="6"/>
      <c r="T189" s="1"/>
      <c r="U189" s="7"/>
      <c r="W189" s="7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ht="18" x14ac:dyDescent="0.25">
      <c r="A190" s="36">
        <f t="shared" si="40"/>
        <v>46181</v>
      </c>
      <c r="B190" s="37" t="s">
        <v>16</v>
      </c>
      <c r="C190" s="38">
        <f t="shared" si="39"/>
        <v>6126.0600000000559</v>
      </c>
      <c r="D190" s="2">
        <v>50</v>
      </c>
      <c r="E190" s="2">
        <v>935</v>
      </c>
      <c r="F190" s="2">
        <v>90</v>
      </c>
      <c r="G190" s="2">
        <v>267</v>
      </c>
      <c r="H190" s="2"/>
      <c r="I190" s="2"/>
      <c r="J190" s="2"/>
      <c r="K190" s="2"/>
      <c r="L190" s="38">
        <f t="shared" si="35"/>
        <v>1342</v>
      </c>
      <c r="M190" s="17"/>
      <c r="N190" s="38">
        <f t="shared" si="36"/>
        <v>1292</v>
      </c>
      <c r="O190" s="38">
        <f t="shared" si="37"/>
        <v>0</v>
      </c>
      <c r="P190" s="5"/>
      <c r="Q190" s="38">
        <f t="shared" si="38"/>
        <v>6176.0600000000559</v>
      </c>
      <c r="R190" s="58"/>
      <c r="S190" s="6"/>
      <c r="T190" s="1"/>
      <c r="U190" s="7"/>
      <c r="W190" s="7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ht="18" x14ac:dyDescent="0.25">
      <c r="A191" s="36">
        <f t="shared" si="40"/>
        <v>46182</v>
      </c>
      <c r="B191" s="37" t="s">
        <v>17</v>
      </c>
      <c r="C191" s="38">
        <f t="shared" si="39"/>
        <v>6176.0600000000559</v>
      </c>
      <c r="D191" s="2">
        <v>1121</v>
      </c>
      <c r="E191" s="2">
        <v>2321</v>
      </c>
      <c r="F191" s="2"/>
      <c r="G191" s="2"/>
      <c r="H191" s="2"/>
      <c r="I191" s="2"/>
      <c r="J191" s="2"/>
      <c r="K191" s="2"/>
      <c r="L191" s="38">
        <f t="shared" si="35"/>
        <v>3442</v>
      </c>
      <c r="M191" s="17"/>
      <c r="N191" s="38">
        <f t="shared" si="36"/>
        <v>2321</v>
      </c>
      <c r="O191" s="38">
        <f t="shared" si="37"/>
        <v>0</v>
      </c>
      <c r="P191" s="5"/>
      <c r="Q191" s="38">
        <f t="shared" si="38"/>
        <v>7297.0600000000559</v>
      </c>
      <c r="R191" s="58"/>
      <c r="S191" s="6"/>
      <c r="T191" s="1"/>
      <c r="U191" s="7"/>
      <c r="W191" s="7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ht="18" x14ac:dyDescent="0.25">
      <c r="A192" s="36">
        <f t="shared" si="40"/>
        <v>46183</v>
      </c>
      <c r="B192" s="37" t="s">
        <v>18</v>
      </c>
      <c r="C192" s="38">
        <f t="shared" si="39"/>
        <v>7297.0600000000559</v>
      </c>
      <c r="D192" s="2">
        <v>254</v>
      </c>
      <c r="E192" s="2">
        <v>1142</v>
      </c>
      <c r="F192" s="2"/>
      <c r="G192" s="2"/>
      <c r="H192" s="2"/>
      <c r="I192" s="2"/>
      <c r="J192" s="2"/>
      <c r="K192" s="2"/>
      <c r="L192" s="38">
        <f t="shared" si="35"/>
        <v>1396</v>
      </c>
      <c r="M192" s="17"/>
      <c r="N192" s="38">
        <f t="shared" si="36"/>
        <v>1142</v>
      </c>
      <c r="O192" s="38">
        <f t="shared" si="37"/>
        <v>0</v>
      </c>
      <c r="P192" s="5"/>
      <c r="Q192" s="38">
        <f t="shared" si="38"/>
        <v>7551.0600000000559</v>
      </c>
      <c r="R192" s="58"/>
      <c r="S192" s="6"/>
      <c r="T192" s="1"/>
      <c r="U192" s="7"/>
      <c r="W192" s="7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ht="18" x14ac:dyDescent="0.25">
      <c r="A193" s="36">
        <f t="shared" si="40"/>
        <v>46184</v>
      </c>
      <c r="B193" s="37" t="s">
        <v>19</v>
      </c>
      <c r="C193" s="38">
        <f t="shared" si="39"/>
        <v>7551.0600000000559</v>
      </c>
      <c r="D193" s="2">
        <v>340</v>
      </c>
      <c r="E193" s="2">
        <v>2277</v>
      </c>
      <c r="F193" s="2">
        <v>277</v>
      </c>
      <c r="G193" s="2"/>
      <c r="H193" s="2"/>
      <c r="I193" s="2"/>
      <c r="J193" s="2"/>
      <c r="K193" s="2"/>
      <c r="L193" s="38">
        <f t="shared" si="35"/>
        <v>2894</v>
      </c>
      <c r="M193" s="17">
        <v>4550</v>
      </c>
      <c r="N193" s="38">
        <f t="shared" si="36"/>
        <v>2554</v>
      </c>
      <c r="O193" s="38">
        <f t="shared" si="37"/>
        <v>0</v>
      </c>
      <c r="P193" s="5"/>
      <c r="Q193" s="38">
        <f t="shared" si="38"/>
        <v>3341.0600000000559</v>
      </c>
      <c r="R193" s="58"/>
      <c r="S193" s="6" t="s">
        <v>91</v>
      </c>
      <c r="T193" s="1"/>
      <c r="U193" s="7"/>
      <c r="W193" s="7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ht="18" x14ac:dyDescent="0.25">
      <c r="A194" s="36">
        <f t="shared" si="40"/>
        <v>46185</v>
      </c>
      <c r="B194" s="37" t="s">
        <v>20</v>
      </c>
      <c r="C194" s="38">
        <f t="shared" si="39"/>
        <v>3341.0600000000559</v>
      </c>
      <c r="D194" s="2">
        <v>1037</v>
      </c>
      <c r="E194" s="2">
        <v>445</v>
      </c>
      <c r="F194" s="2">
        <v>406.86</v>
      </c>
      <c r="G194" s="2"/>
      <c r="H194" s="2"/>
      <c r="I194" s="2"/>
      <c r="J194" s="2"/>
      <c r="K194" s="2"/>
      <c r="L194" s="38">
        <f t="shared" si="35"/>
        <v>1888.8600000000001</v>
      </c>
      <c r="M194" s="17"/>
      <c r="N194" s="38">
        <f t="shared" si="36"/>
        <v>851.86</v>
      </c>
      <c r="O194" s="38">
        <f t="shared" si="37"/>
        <v>0</v>
      </c>
      <c r="P194" s="5"/>
      <c r="Q194" s="38">
        <f t="shared" si="38"/>
        <v>4378.0600000000568</v>
      </c>
      <c r="R194" s="58"/>
      <c r="S194" s="6"/>
      <c r="T194" s="1"/>
      <c r="U194" s="7"/>
      <c r="W194" s="7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ht="18" x14ac:dyDescent="0.25">
      <c r="A195" s="36">
        <f t="shared" si="40"/>
        <v>46186</v>
      </c>
      <c r="B195" s="37" t="s">
        <v>21</v>
      </c>
      <c r="C195" s="38">
        <f t="shared" si="39"/>
        <v>4378.0600000000568</v>
      </c>
      <c r="D195" s="2">
        <v>273</v>
      </c>
      <c r="E195" s="2">
        <v>2026</v>
      </c>
      <c r="F195" s="2">
        <v>129</v>
      </c>
      <c r="G195" s="2">
        <v>105</v>
      </c>
      <c r="H195" s="2"/>
      <c r="I195" s="2"/>
      <c r="J195" s="2">
        <v>499</v>
      </c>
      <c r="K195" s="2"/>
      <c r="L195" s="38">
        <f t="shared" si="35"/>
        <v>3032</v>
      </c>
      <c r="M195" s="17"/>
      <c r="N195" s="38">
        <f t="shared" si="36"/>
        <v>2260</v>
      </c>
      <c r="O195" s="38">
        <f t="shared" si="37"/>
        <v>499</v>
      </c>
      <c r="P195" s="5"/>
      <c r="Q195" s="38">
        <f t="shared" si="38"/>
        <v>4651.0600000000568</v>
      </c>
      <c r="R195" s="58"/>
      <c r="S195" s="6"/>
      <c r="T195" s="1"/>
      <c r="U195" s="7"/>
      <c r="W195" s="7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ht="18" x14ac:dyDescent="0.25">
      <c r="A196" s="36">
        <f t="shared" si="40"/>
        <v>46187</v>
      </c>
      <c r="B196" s="37" t="s">
        <v>22</v>
      </c>
      <c r="C196" s="38">
        <f t="shared" si="39"/>
        <v>4651.0600000000568</v>
      </c>
      <c r="D196" s="2">
        <v>-160</v>
      </c>
      <c r="E196" s="2">
        <v>2184</v>
      </c>
      <c r="F196" s="2"/>
      <c r="G196" s="2"/>
      <c r="H196" s="2"/>
      <c r="I196" s="2"/>
      <c r="J196" s="2">
        <v>246</v>
      </c>
      <c r="K196" s="2"/>
      <c r="L196" s="38">
        <f t="shared" si="35"/>
        <v>2270</v>
      </c>
      <c r="M196" s="17"/>
      <c r="N196" s="38">
        <f t="shared" si="36"/>
        <v>2184</v>
      </c>
      <c r="O196" s="38">
        <f t="shared" si="37"/>
        <v>246</v>
      </c>
      <c r="P196" s="5"/>
      <c r="Q196" s="38">
        <f t="shared" si="38"/>
        <v>4491.0600000000568</v>
      </c>
      <c r="R196" s="58"/>
      <c r="S196" s="6"/>
      <c r="T196" s="1"/>
      <c r="U196" s="7"/>
      <c r="W196" s="7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ht="18" x14ac:dyDescent="0.25">
      <c r="A197" s="36">
        <f t="shared" si="40"/>
        <v>46188</v>
      </c>
      <c r="B197" s="37" t="s">
        <v>16</v>
      </c>
      <c r="C197" s="38">
        <f t="shared" si="39"/>
        <v>4491.0600000000568</v>
      </c>
      <c r="D197" s="2">
        <v>499</v>
      </c>
      <c r="E197" s="2">
        <v>560</v>
      </c>
      <c r="F197" s="2"/>
      <c r="G197" s="2"/>
      <c r="H197" s="2"/>
      <c r="I197" s="2"/>
      <c r="J197" s="2"/>
      <c r="K197" s="2"/>
      <c r="L197" s="38">
        <f t="shared" si="35"/>
        <v>1059</v>
      </c>
      <c r="M197" s="17"/>
      <c r="N197" s="38">
        <f t="shared" si="36"/>
        <v>560</v>
      </c>
      <c r="O197" s="38">
        <f t="shared" si="37"/>
        <v>0</v>
      </c>
      <c r="P197" s="5"/>
      <c r="Q197" s="38">
        <f t="shared" si="38"/>
        <v>4990.0600000000568</v>
      </c>
      <c r="R197" s="58"/>
      <c r="S197" s="6"/>
      <c r="T197" s="1"/>
      <c r="U197" s="7"/>
      <c r="W197" s="7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ht="18" x14ac:dyDescent="0.25">
      <c r="A198" s="36">
        <f t="shared" si="40"/>
        <v>46189</v>
      </c>
      <c r="B198" s="37" t="s">
        <v>17</v>
      </c>
      <c r="C198" s="38">
        <f t="shared" si="39"/>
        <v>4990.0600000000568</v>
      </c>
      <c r="D198" s="2">
        <v>778</v>
      </c>
      <c r="E198" s="2">
        <v>1484</v>
      </c>
      <c r="F198" s="2">
        <v>38</v>
      </c>
      <c r="G198" s="2"/>
      <c r="H198" s="2"/>
      <c r="I198" s="2"/>
      <c r="J198" s="2"/>
      <c r="K198" s="2"/>
      <c r="L198" s="38">
        <f t="shared" si="35"/>
        <v>2300</v>
      </c>
      <c r="M198" s="17"/>
      <c r="N198" s="38">
        <f t="shared" si="36"/>
        <v>1522</v>
      </c>
      <c r="O198" s="38">
        <f t="shared" si="37"/>
        <v>0</v>
      </c>
      <c r="P198" s="5"/>
      <c r="Q198" s="38">
        <f t="shared" si="38"/>
        <v>5768.0600000000568</v>
      </c>
      <c r="R198" s="58"/>
      <c r="S198" s="6"/>
      <c r="T198" s="1"/>
      <c r="U198" s="7"/>
      <c r="W198" s="7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ht="18" x14ac:dyDescent="0.25">
      <c r="A199" s="36">
        <f t="shared" si="40"/>
        <v>46190</v>
      </c>
      <c r="B199" s="37" t="s">
        <v>18</v>
      </c>
      <c r="C199" s="38">
        <f t="shared" si="39"/>
        <v>5768.0600000000568</v>
      </c>
      <c r="D199" s="2">
        <v>194</v>
      </c>
      <c r="E199" s="2">
        <v>1494</v>
      </c>
      <c r="F199" s="2">
        <v>22</v>
      </c>
      <c r="G199" s="2"/>
      <c r="H199" s="2"/>
      <c r="I199" s="2"/>
      <c r="J199" s="2"/>
      <c r="K199" s="2"/>
      <c r="L199" s="38">
        <f t="shared" si="35"/>
        <v>1710</v>
      </c>
      <c r="M199" s="17"/>
      <c r="N199" s="38">
        <f t="shared" si="36"/>
        <v>1516</v>
      </c>
      <c r="O199" s="38">
        <f t="shared" si="37"/>
        <v>0</v>
      </c>
      <c r="P199" s="5"/>
      <c r="Q199" s="38">
        <f t="shared" si="38"/>
        <v>5962.0600000000568</v>
      </c>
      <c r="R199" s="58"/>
      <c r="S199" s="6"/>
      <c r="T199" s="1"/>
      <c r="U199" s="7"/>
      <c r="W199" s="7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ht="18" x14ac:dyDescent="0.25">
      <c r="A200" s="36">
        <f t="shared" si="40"/>
        <v>46191</v>
      </c>
      <c r="B200" s="37" t="s">
        <v>19</v>
      </c>
      <c r="C200" s="38">
        <f t="shared" si="39"/>
        <v>5962.0600000000568</v>
      </c>
      <c r="D200" s="2">
        <v>218</v>
      </c>
      <c r="E200" s="2">
        <v>923</v>
      </c>
      <c r="F200" s="2">
        <v>77</v>
      </c>
      <c r="G200" s="2"/>
      <c r="H200" s="2"/>
      <c r="I200" s="2"/>
      <c r="J200" s="2"/>
      <c r="K200" s="2"/>
      <c r="L200" s="38">
        <f t="shared" si="35"/>
        <v>1218</v>
      </c>
      <c r="M200" s="17"/>
      <c r="N200" s="38">
        <f t="shared" si="36"/>
        <v>1000</v>
      </c>
      <c r="O200" s="38">
        <f t="shared" si="37"/>
        <v>0</v>
      </c>
      <c r="P200" s="5"/>
      <c r="Q200" s="38">
        <f t="shared" si="38"/>
        <v>6180.0600000000568</v>
      </c>
      <c r="R200" s="58"/>
      <c r="S200" s="6"/>
      <c r="T200" s="1"/>
      <c r="U200" s="7"/>
      <c r="W200" s="7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ht="18" x14ac:dyDescent="0.25">
      <c r="A201" s="36">
        <f t="shared" si="40"/>
        <v>46192</v>
      </c>
      <c r="B201" s="37" t="s">
        <v>20</v>
      </c>
      <c r="C201" s="38">
        <f t="shared" si="39"/>
        <v>6180.0600000000568</v>
      </c>
      <c r="D201" s="2">
        <v>658</v>
      </c>
      <c r="E201" s="2">
        <v>2029</v>
      </c>
      <c r="F201" s="2">
        <v>279</v>
      </c>
      <c r="G201" s="2">
        <v>78</v>
      </c>
      <c r="H201" s="2"/>
      <c r="I201" s="2"/>
      <c r="J201" s="2"/>
      <c r="K201" s="2"/>
      <c r="L201" s="38">
        <f t="shared" si="35"/>
        <v>3044</v>
      </c>
      <c r="M201" s="17"/>
      <c r="N201" s="38">
        <f t="shared" si="36"/>
        <v>2386</v>
      </c>
      <c r="O201" s="38">
        <f t="shared" si="37"/>
        <v>0</v>
      </c>
      <c r="P201" s="5"/>
      <c r="Q201" s="38">
        <f t="shared" si="38"/>
        <v>6838.0600000000559</v>
      </c>
      <c r="R201" s="58"/>
      <c r="S201" s="6"/>
      <c r="T201" s="1"/>
      <c r="U201" s="7"/>
      <c r="W201" s="7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ht="18" x14ac:dyDescent="0.25">
      <c r="A202" s="36">
        <f t="shared" si="40"/>
        <v>46193</v>
      </c>
      <c r="B202" s="37" t="s">
        <v>21</v>
      </c>
      <c r="C202" s="38">
        <f t="shared" si="39"/>
        <v>6838.0600000000559</v>
      </c>
      <c r="D202" s="2">
        <v>1067</v>
      </c>
      <c r="E202" s="2">
        <v>1953</v>
      </c>
      <c r="F202" s="2">
        <v>295</v>
      </c>
      <c r="G202" s="2"/>
      <c r="H202" s="2"/>
      <c r="I202" s="2"/>
      <c r="J202" s="2"/>
      <c r="K202" s="2"/>
      <c r="L202" s="38">
        <f t="shared" si="35"/>
        <v>3315</v>
      </c>
      <c r="M202" s="17">
        <v>4850</v>
      </c>
      <c r="N202" s="38">
        <f t="shared" si="36"/>
        <v>2248</v>
      </c>
      <c r="O202" s="38">
        <f t="shared" si="37"/>
        <v>0</v>
      </c>
      <c r="P202" s="5"/>
      <c r="Q202" s="38">
        <f t="shared" si="38"/>
        <v>3055.0600000000559</v>
      </c>
      <c r="R202" s="58"/>
      <c r="S202" s="6" t="s">
        <v>92</v>
      </c>
      <c r="T202" s="1"/>
      <c r="U202" s="7"/>
      <c r="W202" s="7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ht="18" x14ac:dyDescent="0.25">
      <c r="A203" s="36">
        <f t="shared" si="40"/>
        <v>46194</v>
      </c>
      <c r="B203" s="37" t="s">
        <v>23</v>
      </c>
      <c r="C203" s="38">
        <f t="shared" si="39"/>
        <v>3055.0600000000559</v>
      </c>
      <c r="D203" s="2">
        <v>139</v>
      </c>
      <c r="E203" s="2">
        <v>958</v>
      </c>
      <c r="F203" s="2"/>
      <c r="G203" s="2">
        <v>69</v>
      </c>
      <c r="H203" s="2"/>
      <c r="I203" s="2"/>
      <c r="J203" s="2">
        <v>250</v>
      </c>
      <c r="K203" s="2"/>
      <c r="L203" s="38">
        <f t="shared" si="35"/>
        <v>1416</v>
      </c>
      <c r="M203" s="17"/>
      <c r="N203" s="38">
        <f t="shared" si="36"/>
        <v>1027</v>
      </c>
      <c r="O203" s="38">
        <f t="shared" si="37"/>
        <v>250</v>
      </c>
      <c r="P203" s="5"/>
      <c r="Q203" s="38">
        <f t="shared" si="38"/>
        <v>3194.0600000000559</v>
      </c>
      <c r="R203" s="58"/>
      <c r="S203" s="6"/>
      <c r="T203" s="1"/>
      <c r="U203" s="7"/>
      <c r="W203" s="7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ht="18" x14ac:dyDescent="0.25">
      <c r="A204" s="36">
        <f t="shared" si="40"/>
        <v>46195</v>
      </c>
      <c r="B204" s="37" t="s">
        <v>16</v>
      </c>
      <c r="C204" s="38">
        <f t="shared" si="39"/>
        <v>3194.0600000000559</v>
      </c>
      <c r="D204" s="2">
        <v>346</v>
      </c>
      <c r="E204" s="2">
        <v>517</v>
      </c>
      <c r="F204" s="2"/>
      <c r="G204" s="2"/>
      <c r="H204" s="2"/>
      <c r="I204" s="2"/>
      <c r="J204" s="2"/>
      <c r="K204" s="2"/>
      <c r="L204" s="38">
        <f t="shared" si="35"/>
        <v>863</v>
      </c>
      <c r="M204" s="17"/>
      <c r="N204" s="38">
        <f t="shared" si="36"/>
        <v>517</v>
      </c>
      <c r="O204" s="38">
        <f t="shared" si="37"/>
        <v>0</v>
      </c>
      <c r="P204" s="5"/>
      <c r="Q204" s="38">
        <f t="shared" si="38"/>
        <v>3540.0600000000559</v>
      </c>
      <c r="R204" s="58"/>
      <c r="S204" s="6"/>
      <c r="T204" s="1"/>
      <c r="U204" s="7"/>
      <c r="W204" s="7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ht="18" x14ac:dyDescent="0.25">
      <c r="A205" s="36">
        <f t="shared" si="40"/>
        <v>46196</v>
      </c>
      <c r="B205" s="65" t="s">
        <v>17</v>
      </c>
      <c r="C205" s="38">
        <f t="shared" si="39"/>
        <v>3540.0600000000559</v>
      </c>
      <c r="D205" s="2">
        <v>532</v>
      </c>
      <c r="E205" s="2">
        <v>2331</v>
      </c>
      <c r="F205" s="2">
        <v>578</v>
      </c>
      <c r="G205" s="2"/>
      <c r="H205" s="2"/>
      <c r="I205" s="2"/>
      <c r="J205" s="2"/>
      <c r="K205" s="2"/>
      <c r="L205" s="38">
        <f t="shared" si="35"/>
        <v>3441</v>
      </c>
      <c r="M205" s="17"/>
      <c r="N205" s="38">
        <f t="shared" si="36"/>
        <v>2909</v>
      </c>
      <c r="O205" s="38">
        <f t="shared" si="37"/>
        <v>0</v>
      </c>
      <c r="P205" s="5"/>
      <c r="Q205" s="38">
        <f t="shared" si="38"/>
        <v>4072.0600000000559</v>
      </c>
      <c r="R205" s="58"/>
      <c r="S205" s="6"/>
      <c r="T205" s="1"/>
      <c r="U205" s="7"/>
      <c r="W205" s="7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ht="18" x14ac:dyDescent="0.25">
      <c r="A206" s="36">
        <f t="shared" si="40"/>
        <v>46197</v>
      </c>
      <c r="B206" s="65" t="s">
        <v>18</v>
      </c>
      <c r="C206" s="38">
        <f t="shared" si="39"/>
        <v>4072.0600000000559</v>
      </c>
      <c r="D206" s="2">
        <v>294</v>
      </c>
      <c r="E206" s="2">
        <v>2216</v>
      </c>
      <c r="F206" s="2">
        <v>389</v>
      </c>
      <c r="G206" s="2"/>
      <c r="H206" s="2"/>
      <c r="I206" s="2"/>
      <c r="J206" s="2"/>
      <c r="K206" s="2"/>
      <c r="L206" s="38">
        <f t="shared" si="35"/>
        <v>2899</v>
      </c>
      <c r="M206" s="17"/>
      <c r="N206" s="38">
        <f t="shared" si="36"/>
        <v>2605</v>
      </c>
      <c r="O206" s="38">
        <f t="shared" si="37"/>
        <v>0</v>
      </c>
      <c r="P206" s="5"/>
      <c r="Q206" s="38">
        <f t="shared" si="38"/>
        <v>4366.0600000000559</v>
      </c>
      <c r="R206" s="58"/>
      <c r="S206" s="6"/>
      <c r="T206" s="1"/>
      <c r="U206" s="7"/>
      <c r="W206" s="7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ht="18" x14ac:dyDescent="0.25">
      <c r="A207" s="36">
        <f t="shared" si="40"/>
        <v>46198</v>
      </c>
      <c r="B207" s="65" t="s">
        <v>19</v>
      </c>
      <c r="C207" s="38">
        <f t="shared" si="39"/>
        <v>4366.0600000000559</v>
      </c>
      <c r="D207" s="2">
        <v>534.25</v>
      </c>
      <c r="E207" s="2">
        <v>480</v>
      </c>
      <c r="F207" s="2">
        <v>123</v>
      </c>
      <c r="G207" s="2">
        <v>85</v>
      </c>
      <c r="H207" s="2"/>
      <c r="I207" s="2"/>
      <c r="J207" s="2"/>
      <c r="K207" s="2"/>
      <c r="L207" s="38">
        <f t="shared" si="35"/>
        <v>1222.25</v>
      </c>
      <c r="M207" s="17"/>
      <c r="N207" s="38">
        <f t="shared" si="36"/>
        <v>688</v>
      </c>
      <c r="O207" s="38">
        <f t="shared" si="37"/>
        <v>0</v>
      </c>
      <c r="P207" s="5"/>
      <c r="Q207" s="38">
        <f t="shared" si="38"/>
        <v>4900.3100000000559</v>
      </c>
      <c r="R207" s="58"/>
      <c r="S207" s="6"/>
      <c r="T207" s="1"/>
      <c r="U207" s="7"/>
      <c r="W207" s="7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ht="18" x14ac:dyDescent="0.25">
      <c r="A208" s="36">
        <f t="shared" si="40"/>
        <v>46199</v>
      </c>
      <c r="B208" s="65" t="s">
        <v>20</v>
      </c>
      <c r="C208" s="38">
        <f t="shared" si="39"/>
        <v>4900.3100000000559</v>
      </c>
      <c r="D208" s="2">
        <v>489</v>
      </c>
      <c r="E208" s="2">
        <v>2419</v>
      </c>
      <c r="F208" s="2">
        <v>1410</v>
      </c>
      <c r="G208" s="2"/>
      <c r="H208" s="2"/>
      <c r="I208" s="2"/>
      <c r="J208" s="2">
        <v>154</v>
      </c>
      <c r="K208" s="2"/>
      <c r="L208" s="38">
        <f t="shared" si="35"/>
        <v>4472</v>
      </c>
      <c r="M208" s="17"/>
      <c r="N208" s="38">
        <f t="shared" si="36"/>
        <v>3829</v>
      </c>
      <c r="O208" s="38">
        <f t="shared" si="37"/>
        <v>154</v>
      </c>
      <c r="P208" s="5"/>
      <c r="Q208" s="38">
        <f t="shared" si="38"/>
        <v>5389.3100000000559</v>
      </c>
      <c r="R208" s="58"/>
      <c r="S208" s="6"/>
      <c r="T208" s="1"/>
      <c r="U208" s="7"/>
      <c r="W208" s="7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ht="18" x14ac:dyDescent="0.25">
      <c r="A209" s="36">
        <f t="shared" si="40"/>
        <v>46200</v>
      </c>
      <c r="B209" s="65" t="s">
        <v>21</v>
      </c>
      <c r="C209" s="38">
        <f t="shared" si="39"/>
        <v>5389.3100000000559</v>
      </c>
      <c r="D209" s="2">
        <v>1128</v>
      </c>
      <c r="E209" s="2">
        <v>3421.25</v>
      </c>
      <c r="F209" s="2">
        <v>128</v>
      </c>
      <c r="G209" s="2"/>
      <c r="H209" s="2"/>
      <c r="I209" s="2"/>
      <c r="J209" s="2"/>
      <c r="K209" s="2"/>
      <c r="L209" s="38">
        <f t="shared" si="35"/>
        <v>4677.25</v>
      </c>
      <c r="M209" s="17">
        <v>3350</v>
      </c>
      <c r="N209" s="38">
        <f t="shared" si="36"/>
        <v>3549.25</v>
      </c>
      <c r="O209" s="38">
        <f t="shared" si="37"/>
        <v>0</v>
      </c>
      <c r="P209" s="5"/>
      <c r="Q209" s="38">
        <f t="shared" si="38"/>
        <v>3167.3100000000559</v>
      </c>
      <c r="R209" s="58"/>
      <c r="S209" s="6" t="s">
        <v>93</v>
      </c>
      <c r="T209" s="1"/>
      <c r="U209" s="7"/>
      <c r="W209" s="7"/>
    </row>
    <row r="210" spans="1:53" ht="18" x14ac:dyDescent="0.25">
      <c r="A210" s="36">
        <f t="shared" si="40"/>
        <v>46201</v>
      </c>
      <c r="B210" s="37" t="s">
        <v>23</v>
      </c>
      <c r="C210" s="38">
        <f t="shared" si="39"/>
        <v>3167.3100000000559</v>
      </c>
      <c r="D210" s="2">
        <v>482</v>
      </c>
      <c r="E210" s="2">
        <v>5369</v>
      </c>
      <c r="F210" s="2"/>
      <c r="G210" s="2">
        <v>556</v>
      </c>
      <c r="H210" s="2"/>
      <c r="I210" s="2"/>
      <c r="J210" s="2"/>
      <c r="K210" s="2"/>
      <c r="L210" s="38">
        <f t="shared" si="35"/>
        <v>6407</v>
      </c>
      <c r="M210" s="17"/>
      <c r="N210" s="38">
        <f t="shared" si="36"/>
        <v>5925</v>
      </c>
      <c r="O210" s="38">
        <f t="shared" si="37"/>
        <v>0</v>
      </c>
      <c r="P210" s="5"/>
      <c r="Q210" s="38">
        <f t="shared" si="38"/>
        <v>3649.3100000000559</v>
      </c>
      <c r="R210" s="58"/>
      <c r="S210" s="6"/>
      <c r="T210" s="1"/>
      <c r="U210" s="7"/>
      <c r="W210" s="7"/>
    </row>
    <row r="211" spans="1:53" ht="18" x14ac:dyDescent="0.25">
      <c r="A211" s="36">
        <f t="shared" si="40"/>
        <v>46202</v>
      </c>
      <c r="B211" s="37" t="s">
        <v>24</v>
      </c>
      <c r="C211" s="38">
        <f t="shared" si="39"/>
        <v>3649.3100000000559</v>
      </c>
      <c r="D211" s="2">
        <v>498</v>
      </c>
      <c r="E211" s="2">
        <v>3282</v>
      </c>
      <c r="F211" s="2">
        <v>641</v>
      </c>
      <c r="G211" s="2">
        <v>620</v>
      </c>
      <c r="H211" s="2"/>
      <c r="I211" s="2"/>
      <c r="J211" s="2">
        <v>129</v>
      </c>
      <c r="K211" s="2"/>
      <c r="L211" s="38">
        <f t="shared" si="35"/>
        <v>5170</v>
      </c>
      <c r="M211" s="17"/>
      <c r="N211" s="38">
        <f t="shared" si="36"/>
        <v>4543</v>
      </c>
      <c r="O211" s="38">
        <f t="shared" si="37"/>
        <v>129</v>
      </c>
      <c r="P211" s="5"/>
      <c r="Q211" s="38">
        <f t="shared" si="38"/>
        <v>4147.3100000000559</v>
      </c>
      <c r="R211" s="58"/>
      <c r="S211" s="6"/>
      <c r="T211" s="1"/>
      <c r="U211" s="7"/>
      <c r="W211" s="7"/>
    </row>
    <row r="212" spans="1:53" ht="18.75" thickBot="1" x14ac:dyDescent="0.3">
      <c r="A212" s="49">
        <f t="shared" si="40"/>
        <v>46203</v>
      </c>
      <c r="B212" s="75" t="s">
        <v>17</v>
      </c>
      <c r="C212" s="40">
        <f t="shared" si="39"/>
        <v>4147.3100000000559</v>
      </c>
      <c r="D212" s="9">
        <v>656</v>
      </c>
      <c r="E212" s="9">
        <v>3900.5</v>
      </c>
      <c r="F212" s="9">
        <v>290</v>
      </c>
      <c r="G212" s="9"/>
      <c r="H212" s="9"/>
      <c r="I212" s="9"/>
      <c r="J212" s="9"/>
      <c r="K212" s="9"/>
      <c r="L212" s="40">
        <f t="shared" si="35"/>
        <v>4846.5</v>
      </c>
      <c r="M212" s="18"/>
      <c r="N212" s="40">
        <f t="shared" si="36"/>
        <v>4190.5</v>
      </c>
      <c r="O212" s="40">
        <f t="shared" si="37"/>
        <v>0</v>
      </c>
      <c r="P212" s="19"/>
      <c r="Q212" s="40">
        <f t="shared" si="38"/>
        <v>4803.3100000000559</v>
      </c>
      <c r="R212" s="60"/>
      <c r="S212" s="12"/>
      <c r="T212" s="1"/>
      <c r="U212" s="7"/>
      <c r="W212" s="7"/>
    </row>
    <row r="213" spans="1:53" ht="19.5" thickTop="1" thickBot="1" x14ac:dyDescent="0.3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1"/>
      <c r="U213" s="7"/>
    </row>
    <row r="214" spans="1:53" ht="19.5" thickTop="1" thickBot="1" x14ac:dyDescent="0.3">
      <c r="A214" s="84"/>
      <c r="B214" s="85"/>
      <c r="C214" s="86"/>
      <c r="D214" s="13">
        <f t="shared" ref="D214:P214" si="41">SUM(D182:D212)</f>
        <v>13357.25</v>
      </c>
      <c r="E214" s="13">
        <f t="shared" si="41"/>
        <v>54610.75</v>
      </c>
      <c r="F214" s="13">
        <f t="shared" si="41"/>
        <v>6466.8600000000006</v>
      </c>
      <c r="G214" s="13">
        <f t="shared" si="41"/>
        <v>2486</v>
      </c>
      <c r="H214" s="13">
        <f t="shared" si="41"/>
        <v>0</v>
      </c>
      <c r="I214" s="13">
        <f t="shared" si="41"/>
        <v>0</v>
      </c>
      <c r="J214" s="13">
        <f t="shared" si="41"/>
        <v>1638</v>
      </c>
      <c r="K214" s="13">
        <f t="shared" si="41"/>
        <v>0</v>
      </c>
      <c r="L214" s="38">
        <f t="shared" si="41"/>
        <v>78558.86</v>
      </c>
      <c r="M214" s="13">
        <f t="shared" si="41"/>
        <v>12750</v>
      </c>
      <c r="N214" s="38">
        <f t="shared" si="41"/>
        <v>63563.61</v>
      </c>
      <c r="O214" s="38">
        <f t="shared" si="41"/>
        <v>1638</v>
      </c>
      <c r="P214" s="13">
        <f t="shared" si="41"/>
        <v>0</v>
      </c>
      <c r="Q214" s="38">
        <f>C183+C214+L214+-M214-N214-O214-P214</f>
        <v>4803.3100000000559</v>
      </c>
      <c r="R214" s="63"/>
      <c r="S214" s="14"/>
      <c r="U214" s="7"/>
    </row>
    <row r="215" spans="1:53" ht="19.5" thickTop="1" thickBot="1" x14ac:dyDescent="0.3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1"/>
      <c r="U215" s="7"/>
    </row>
    <row r="216" spans="1:53" ht="20.25" customHeight="1" thickTop="1" thickBot="1" x14ac:dyDescent="0.3">
      <c r="A216" s="94" t="s">
        <v>0</v>
      </c>
      <c r="B216" s="96" t="s">
        <v>1</v>
      </c>
      <c r="C216" s="98" t="s">
        <v>2</v>
      </c>
      <c r="D216" s="80" t="s">
        <v>3</v>
      </c>
      <c r="E216" s="100" t="s">
        <v>4</v>
      </c>
      <c r="F216" s="101"/>
      <c r="G216" s="101"/>
      <c r="H216" s="101"/>
      <c r="I216" s="101"/>
      <c r="J216" s="101"/>
      <c r="K216" s="102"/>
      <c r="L216" s="80" t="s">
        <v>5</v>
      </c>
      <c r="M216" s="80" t="s">
        <v>6</v>
      </c>
      <c r="N216" s="80" t="s">
        <v>7</v>
      </c>
      <c r="O216" s="80" t="s">
        <v>8</v>
      </c>
      <c r="P216" s="80" t="s">
        <v>9</v>
      </c>
      <c r="Q216" s="82" t="s">
        <v>10</v>
      </c>
      <c r="R216" s="82" t="s">
        <v>34</v>
      </c>
      <c r="S216" s="82" t="s">
        <v>11</v>
      </c>
    </row>
    <row r="217" spans="1:53" ht="19.5" thickTop="1" thickBot="1" x14ac:dyDescent="0.3">
      <c r="A217" s="95"/>
      <c r="B217" s="97"/>
      <c r="C217" s="99"/>
      <c r="D217" s="81"/>
      <c r="E217" s="41" t="s">
        <v>12</v>
      </c>
      <c r="F217" s="42" t="s">
        <v>13</v>
      </c>
      <c r="G217" s="41" t="s">
        <v>14</v>
      </c>
      <c r="H217" s="41" t="s">
        <v>15</v>
      </c>
      <c r="I217" s="41" t="s">
        <v>45</v>
      </c>
      <c r="J217" s="42" t="s">
        <v>44</v>
      </c>
      <c r="K217" s="42" t="s">
        <v>46</v>
      </c>
      <c r="L217" s="81"/>
      <c r="M217" s="81"/>
      <c r="N217" s="81"/>
      <c r="O217" s="81"/>
      <c r="P217" s="81"/>
      <c r="Q217" s="83"/>
      <c r="R217" s="83"/>
      <c r="S217" s="83"/>
    </row>
    <row r="218" spans="1:53" ht="18.75" thickTop="1" x14ac:dyDescent="0.25">
      <c r="A218" s="36">
        <f>A212+1</f>
        <v>46204</v>
      </c>
      <c r="B218" s="37" t="s">
        <v>18</v>
      </c>
      <c r="C218" s="38">
        <f>SUM(Q212)</f>
        <v>4803.3100000000559</v>
      </c>
      <c r="D218" s="2">
        <v>1554</v>
      </c>
      <c r="E218" s="2">
        <v>2660</v>
      </c>
      <c r="F218" s="2"/>
      <c r="G218" s="2"/>
      <c r="H218" s="3"/>
      <c r="I218" s="3"/>
      <c r="J218" s="3"/>
      <c r="K218" s="3"/>
      <c r="L218" s="38">
        <f t="shared" ref="L218:L248" si="42">SUM(D218:K218)</f>
        <v>4214</v>
      </c>
      <c r="M218" s="5"/>
      <c r="N218" s="38">
        <f t="shared" ref="N218:N248" si="43">SUM(E218+F218+G218+H218)</f>
        <v>2660</v>
      </c>
      <c r="O218" s="38">
        <f t="shared" ref="O218:O248" si="44">I218+K218+J218</f>
        <v>0</v>
      </c>
      <c r="P218" s="5"/>
      <c r="Q218" s="38">
        <f t="shared" ref="Q218:Q248" si="45">C218+L218+-M218-N218-O218-P218</f>
        <v>6357.3100000000559</v>
      </c>
      <c r="R218" s="58"/>
      <c r="S218" s="6"/>
      <c r="T218" s="20"/>
      <c r="U218" s="7"/>
      <c r="V218" s="20"/>
      <c r="W218" s="21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</row>
    <row r="219" spans="1:53" ht="18" x14ac:dyDescent="0.25">
      <c r="A219" s="36">
        <f>A218+1</f>
        <v>46205</v>
      </c>
      <c r="B219" s="37" t="s">
        <v>19</v>
      </c>
      <c r="C219" s="38">
        <f t="shared" ref="C219:C248" si="46">Q218</f>
        <v>6357.3100000000559</v>
      </c>
      <c r="D219" s="2">
        <v>358</v>
      </c>
      <c r="E219" s="2">
        <v>4648.25</v>
      </c>
      <c r="F219" s="2">
        <v>594</v>
      </c>
      <c r="G219" s="2">
        <v>303</v>
      </c>
      <c r="H219" s="3"/>
      <c r="I219" s="3"/>
      <c r="J219" s="3"/>
      <c r="K219" s="3"/>
      <c r="L219" s="38">
        <f t="shared" si="42"/>
        <v>5903.25</v>
      </c>
      <c r="M219" s="5">
        <v>5250</v>
      </c>
      <c r="N219" s="38">
        <f t="shared" si="43"/>
        <v>5545.25</v>
      </c>
      <c r="O219" s="38">
        <f t="shared" si="44"/>
        <v>0</v>
      </c>
      <c r="P219" s="5"/>
      <c r="Q219" s="38">
        <f t="shared" si="45"/>
        <v>1465.3100000000559</v>
      </c>
      <c r="R219" s="58"/>
      <c r="S219" s="6" t="s">
        <v>94</v>
      </c>
      <c r="T219" s="20"/>
      <c r="U219" s="7"/>
      <c r="V219" s="20"/>
      <c r="W219" s="21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</row>
    <row r="220" spans="1:53" ht="18" x14ac:dyDescent="0.25">
      <c r="A220" s="36">
        <f t="shared" ref="A220:A248" si="47">A219+1</f>
        <v>46206</v>
      </c>
      <c r="B220" s="37" t="s">
        <v>20</v>
      </c>
      <c r="C220" s="38">
        <f t="shared" si="46"/>
        <v>1465.3100000000559</v>
      </c>
      <c r="D220" s="2">
        <v>652.5</v>
      </c>
      <c r="E220" s="2">
        <v>3218.5</v>
      </c>
      <c r="F220" s="2">
        <v>242.5</v>
      </c>
      <c r="G220" s="2">
        <v>852.5</v>
      </c>
      <c r="H220" s="3"/>
      <c r="I220" s="3"/>
      <c r="J220" s="3"/>
      <c r="K220" s="3"/>
      <c r="L220" s="38">
        <f t="shared" si="42"/>
        <v>4966</v>
      </c>
      <c r="M220" s="5"/>
      <c r="N220" s="38">
        <f t="shared" si="43"/>
        <v>4313.5</v>
      </c>
      <c r="O220" s="38">
        <f t="shared" si="44"/>
        <v>0</v>
      </c>
      <c r="P220" s="5"/>
      <c r="Q220" s="38">
        <f t="shared" si="45"/>
        <v>2117.8100000000559</v>
      </c>
      <c r="R220" s="58"/>
      <c r="S220" s="6"/>
      <c r="T220" s="20"/>
      <c r="U220" s="7"/>
      <c r="V220" s="20"/>
      <c r="W220" s="21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</row>
    <row r="221" spans="1:53" ht="18" x14ac:dyDescent="0.25">
      <c r="A221" s="36">
        <f t="shared" si="47"/>
        <v>46207</v>
      </c>
      <c r="B221" s="37" t="s">
        <v>21</v>
      </c>
      <c r="C221" s="38">
        <f t="shared" si="46"/>
        <v>2117.8100000000559</v>
      </c>
      <c r="D221" s="2">
        <v>2297</v>
      </c>
      <c r="E221" s="2">
        <v>4394.5</v>
      </c>
      <c r="F221" s="2">
        <v>738</v>
      </c>
      <c r="G221" s="2">
        <v>446</v>
      </c>
      <c r="H221" s="3"/>
      <c r="I221" s="3"/>
      <c r="J221" s="3">
        <v>292.5</v>
      </c>
      <c r="K221" s="3"/>
      <c r="L221" s="38">
        <f t="shared" si="42"/>
        <v>8168</v>
      </c>
      <c r="M221" s="5">
        <v>2900</v>
      </c>
      <c r="N221" s="38">
        <f t="shared" si="43"/>
        <v>5578.5</v>
      </c>
      <c r="O221" s="38">
        <f t="shared" si="44"/>
        <v>292.5</v>
      </c>
      <c r="P221" s="5"/>
      <c r="Q221" s="38">
        <f t="shared" si="45"/>
        <v>1514.8100000000559</v>
      </c>
      <c r="R221" s="58"/>
      <c r="S221" s="6" t="s">
        <v>95</v>
      </c>
      <c r="T221" s="20"/>
      <c r="U221" s="7"/>
      <c r="V221" s="20"/>
      <c r="W221" s="21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</row>
    <row r="222" spans="1:53" ht="18" x14ac:dyDescent="0.25">
      <c r="A222" s="36">
        <f t="shared" si="47"/>
        <v>46208</v>
      </c>
      <c r="B222" s="37" t="s">
        <v>22</v>
      </c>
      <c r="C222" s="38">
        <f t="shared" si="46"/>
        <v>1514.8100000000559</v>
      </c>
      <c r="D222" s="2">
        <v>804</v>
      </c>
      <c r="E222" s="2">
        <v>3629.5</v>
      </c>
      <c r="F222" s="2">
        <v>630</v>
      </c>
      <c r="G222" s="2">
        <v>161</v>
      </c>
      <c r="H222" s="3"/>
      <c r="I222" s="3"/>
      <c r="J222" s="3">
        <v>1105</v>
      </c>
      <c r="K222" s="3"/>
      <c r="L222" s="38">
        <f t="shared" si="42"/>
        <v>6329.5</v>
      </c>
      <c r="M222" s="5"/>
      <c r="N222" s="38">
        <f t="shared" si="43"/>
        <v>4420.5</v>
      </c>
      <c r="O222" s="38">
        <f t="shared" si="44"/>
        <v>1105</v>
      </c>
      <c r="P222" s="5"/>
      <c r="Q222" s="38">
        <f t="shared" si="45"/>
        <v>2318.8100000000559</v>
      </c>
      <c r="R222" s="58"/>
      <c r="S222" s="6"/>
      <c r="T222" s="20"/>
      <c r="U222" s="7"/>
      <c r="V222" s="20"/>
      <c r="W222" s="21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</row>
    <row r="223" spans="1:53" ht="18" x14ac:dyDescent="0.25">
      <c r="A223" s="36">
        <f t="shared" si="47"/>
        <v>46209</v>
      </c>
      <c r="B223" s="37" t="s">
        <v>16</v>
      </c>
      <c r="C223" s="38">
        <f t="shared" si="46"/>
        <v>2318.8100000000559</v>
      </c>
      <c r="D223" s="2">
        <v>2234</v>
      </c>
      <c r="E223" s="2">
        <v>5377.25</v>
      </c>
      <c r="F223" s="2">
        <v>1703</v>
      </c>
      <c r="G223" s="2">
        <v>168</v>
      </c>
      <c r="H223" s="3"/>
      <c r="I223" s="3"/>
      <c r="J223" s="3"/>
      <c r="K223" s="3"/>
      <c r="L223" s="38">
        <f t="shared" si="42"/>
        <v>9482.25</v>
      </c>
      <c r="M223" s="5"/>
      <c r="N223" s="38">
        <f t="shared" si="43"/>
        <v>7248.25</v>
      </c>
      <c r="O223" s="38">
        <f t="shared" si="44"/>
        <v>0</v>
      </c>
      <c r="P223" s="5"/>
      <c r="Q223" s="38">
        <f t="shared" si="45"/>
        <v>4552.8100000000559</v>
      </c>
      <c r="R223" s="58"/>
      <c r="S223" s="6"/>
      <c r="T223" s="20"/>
      <c r="U223" s="7"/>
      <c r="V223" s="20"/>
      <c r="W223" s="21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</row>
    <row r="224" spans="1:53" ht="18" x14ac:dyDescent="0.25">
      <c r="A224" s="36">
        <f t="shared" si="47"/>
        <v>46210</v>
      </c>
      <c r="B224" s="37" t="s">
        <v>17</v>
      </c>
      <c r="C224" s="38">
        <f t="shared" si="46"/>
        <v>4552.8100000000559</v>
      </c>
      <c r="D224" s="2">
        <v>1012</v>
      </c>
      <c r="E224" s="2">
        <v>2783.5</v>
      </c>
      <c r="F224" s="2">
        <v>366</v>
      </c>
      <c r="G224" s="2">
        <v>1095</v>
      </c>
      <c r="H224" s="3"/>
      <c r="I224" s="3"/>
      <c r="J224" s="3">
        <v>487</v>
      </c>
      <c r="K224" s="3"/>
      <c r="L224" s="38">
        <f t="shared" si="42"/>
        <v>5743.5</v>
      </c>
      <c r="M224" s="5"/>
      <c r="N224" s="38">
        <f t="shared" si="43"/>
        <v>4244.5</v>
      </c>
      <c r="O224" s="38">
        <f t="shared" si="44"/>
        <v>487</v>
      </c>
      <c r="P224" s="5"/>
      <c r="Q224" s="38">
        <f t="shared" si="45"/>
        <v>5564.8100000000559</v>
      </c>
      <c r="R224" s="58"/>
      <c r="S224" s="6"/>
      <c r="T224" s="1"/>
      <c r="U224" s="7"/>
      <c r="W224" s="7"/>
    </row>
    <row r="225" spans="1:53" ht="18" x14ac:dyDescent="0.25">
      <c r="A225" s="36">
        <f t="shared" si="47"/>
        <v>46211</v>
      </c>
      <c r="B225" s="37" t="s">
        <v>18</v>
      </c>
      <c r="C225" s="38">
        <f t="shared" si="46"/>
        <v>5564.8100000000559</v>
      </c>
      <c r="D225" s="2">
        <v>15</v>
      </c>
      <c r="E225" s="2">
        <v>4047</v>
      </c>
      <c r="F225" s="2">
        <v>577</v>
      </c>
      <c r="G225" s="2">
        <v>358</v>
      </c>
      <c r="H225" s="3"/>
      <c r="I225" s="3"/>
      <c r="J225" s="3">
        <v>520</v>
      </c>
      <c r="K225" s="3"/>
      <c r="L225" s="38">
        <f t="shared" si="42"/>
        <v>5517</v>
      </c>
      <c r="M225" s="5"/>
      <c r="N225" s="38">
        <f t="shared" si="43"/>
        <v>4982</v>
      </c>
      <c r="O225" s="38">
        <f t="shared" si="44"/>
        <v>520</v>
      </c>
      <c r="P225" s="5"/>
      <c r="Q225" s="38">
        <f t="shared" si="45"/>
        <v>5579.8100000000559</v>
      </c>
      <c r="R225" s="58"/>
      <c r="S225" s="6"/>
      <c r="T225" s="1"/>
      <c r="U225" s="7"/>
      <c r="W225" s="7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ht="18" x14ac:dyDescent="0.25">
      <c r="A226" s="36">
        <f t="shared" si="47"/>
        <v>46212</v>
      </c>
      <c r="B226" s="37" t="s">
        <v>19</v>
      </c>
      <c r="C226" s="38">
        <f t="shared" si="46"/>
        <v>5579.8100000000559</v>
      </c>
      <c r="D226" s="2">
        <v>0</v>
      </c>
      <c r="E226" s="2">
        <v>2599</v>
      </c>
      <c r="F226" s="2">
        <v>267</v>
      </c>
      <c r="G226" s="2"/>
      <c r="H226" s="3"/>
      <c r="I226" s="3"/>
      <c r="J226" s="3"/>
      <c r="K226" s="3"/>
      <c r="L226" s="38">
        <f t="shared" si="42"/>
        <v>2866</v>
      </c>
      <c r="M226" s="5"/>
      <c r="N226" s="38">
        <f t="shared" si="43"/>
        <v>2866</v>
      </c>
      <c r="O226" s="38">
        <f t="shared" si="44"/>
        <v>0</v>
      </c>
      <c r="P226" s="5"/>
      <c r="Q226" s="38">
        <f t="shared" si="45"/>
        <v>5579.8100000000559</v>
      </c>
      <c r="R226" s="58"/>
      <c r="S226" s="6"/>
      <c r="T226" s="1"/>
      <c r="U226" s="7"/>
      <c r="W226" s="7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ht="18" x14ac:dyDescent="0.25">
      <c r="A227" s="36">
        <f t="shared" si="47"/>
        <v>46213</v>
      </c>
      <c r="B227" s="37" t="s">
        <v>20</v>
      </c>
      <c r="C227" s="38">
        <f t="shared" si="46"/>
        <v>5579.8100000000559</v>
      </c>
      <c r="D227" s="2">
        <v>70</v>
      </c>
      <c r="E227" s="2">
        <v>1769</v>
      </c>
      <c r="F227" s="2">
        <v>831</v>
      </c>
      <c r="G227" s="2">
        <v>54</v>
      </c>
      <c r="H227" s="3"/>
      <c r="I227" s="3"/>
      <c r="J227" s="3">
        <v>414.5</v>
      </c>
      <c r="K227" s="3"/>
      <c r="L227" s="38">
        <f t="shared" si="42"/>
        <v>3138.5</v>
      </c>
      <c r="M227" s="5">
        <v>3500</v>
      </c>
      <c r="N227" s="38">
        <f t="shared" si="43"/>
        <v>2654</v>
      </c>
      <c r="O227" s="38">
        <f t="shared" si="44"/>
        <v>414.5</v>
      </c>
      <c r="P227" s="5"/>
      <c r="Q227" s="38">
        <f t="shared" si="45"/>
        <v>2149.8100000000559</v>
      </c>
      <c r="R227" s="58"/>
      <c r="S227" s="6" t="s">
        <v>96</v>
      </c>
      <c r="T227" s="1"/>
      <c r="U227" s="7"/>
      <c r="W227" s="7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ht="18" x14ac:dyDescent="0.25">
      <c r="A228" s="36">
        <f t="shared" si="47"/>
        <v>46214</v>
      </c>
      <c r="B228" s="37" t="s">
        <v>21</v>
      </c>
      <c r="C228" s="38">
        <f t="shared" si="46"/>
        <v>2149.8100000000559</v>
      </c>
      <c r="D228" s="2">
        <v>-272</v>
      </c>
      <c r="E228" s="2">
        <v>4795.25</v>
      </c>
      <c r="F228" s="2">
        <v>1685</v>
      </c>
      <c r="G228" s="2">
        <v>525</v>
      </c>
      <c r="H228" s="3"/>
      <c r="I228" s="3"/>
      <c r="J228" s="3"/>
      <c r="K228" s="3"/>
      <c r="L228" s="38">
        <f t="shared" si="42"/>
        <v>6733.25</v>
      </c>
      <c r="M228" s="5"/>
      <c r="N228" s="38">
        <f t="shared" si="43"/>
        <v>7005.25</v>
      </c>
      <c r="O228" s="38">
        <f t="shared" si="44"/>
        <v>0</v>
      </c>
      <c r="P228" s="5"/>
      <c r="Q228" s="38">
        <f t="shared" si="45"/>
        <v>1877.8100000000559</v>
      </c>
      <c r="R228" s="58"/>
      <c r="S228" s="6"/>
      <c r="T228" s="1"/>
      <c r="U228" s="7"/>
      <c r="W228" s="7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ht="18" x14ac:dyDescent="0.25">
      <c r="A229" s="36">
        <f t="shared" si="47"/>
        <v>46215</v>
      </c>
      <c r="B229" s="37" t="s">
        <v>22</v>
      </c>
      <c r="C229" s="38">
        <f t="shared" si="46"/>
        <v>1877.8100000000559</v>
      </c>
      <c r="D229" s="2">
        <v>15</v>
      </c>
      <c r="E229" s="2">
        <v>1672.25</v>
      </c>
      <c r="F229" s="2">
        <v>332</v>
      </c>
      <c r="G229" s="2"/>
      <c r="H229" s="3"/>
      <c r="I229" s="3"/>
      <c r="J229" s="3"/>
      <c r="K229" s="3"/>
      <c r="L229" s="38">
        <f t="shared" si="42"/>
        <v>2019.25</v>
      </c>
      <c r="M229" s="5"/>
      <c r="N229" s="38">
        <f t="shared" si="43"/>
        <v>2004.25</v>
      </c>
      <c r="O229" s="38">
        <f t="shared" si="44"/>
        <v>0</v>
      </c>
      <c r="P229" s="5"/>
      <c r="Q229" s="38">
        <f t="shared" si="45"/>
        <v>1892.8100000000559</v>
      </c>
      <c r="R229" s="58"/>
      <c r="S229" s="6"/>
      <c r="T229" s="1"/>
      <c r="U229" s="7"/>
      <c r="W229" s="7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ht="18" x14ac:dyDescent="0.25">
      <c r="A230" s="36">
        <f t="shared" si="47"/>
        <v>46216</v>
      </c>
      <c r="B230" s="37" t="s">
        <v>16</v>
      </c>
      <c r="C230" s="38">
        <f t="shared" si="46"/>
        <v>1892.8100000000559</v>
      </c>
      <c r="D230" s="2">
        <v>457</v>
      </c>
      <c r="E230" s="2">
        <v>2205</v>
      </c>
      <c r="F230" s="2">
        <v>249</v>
      </c>
      <c r="G230" s="2">
        <v>387</v>
      </c>
      <c r="H230" s="3"/>
      <c r="I230" s="3"/>
      <c r="J230" s="3"/>
      <c r="K230" s="3"/>
      <c r="L230" s="38">
        <f t="shared" si="42"/>
        <v>3298</v>
      </c>
      <c r="M230" s="5"/>
      <c r="N230" s="38">
        <f t="shared" si="43"/>
        <v>2841</v>
      </c>
      <c r="O230" s="38">
        <f t="shared" si="44"/>
        <v>0</v>
      </c>
      <c r="P230" s="5"/>
      <c r="Q230" s="38">
        <f t="shared" si="45"/>
        <v>2349.8100000000559</v>
      </c>
      <c r="R230" s="58"/>
      <c r="S230" s="6"/>
      <c r="T230" s="1"/>
      <c r="U230" s="7"/>
      <c r="W230" s="7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ht="18" x14ac:dyDescent="0.25">
      <c r="A231" s="36">
        <f t="shared" si="47"/>
        <v>46217</v>
      </c>
      <c r="B231" s="37" t="s">
        <v>17</v>
      </c>
      <c r="C231" s="38">
        <f t="shared" si="46"/>
        <v>2349.8100000000559</v>
      </c>
      <c r="D231" s="2">
        <v>746</v>
      </c>
      <c r="E231" s="2">
        <v>1166</v>
      </c>
      <c r="F231" s="2">
        <v>471.5</v>
      </c>
      <c r="G231" s="2">
        <v>168</v>
      </c>
      <c r="H231" s="3"/>
      <c r="I231" s="3"/>
      <c r="J231" s="3">
        <v>250</v>
      </c>
      <c r="K231" s="3"/>
      <c r="L231" s="38">
        <f t="shared" si="42"/>
        <v>2801.5</v>
      </c>
      <c r="M231" s="5"/>
      <c r="N231" s="38">
        <f t="shared" si="43"/>
        <v>1805.5</v>
      </c>
      <c r="O231" s="38">
        <f t="shared" si="44"/>
        <v>250</v>
      </c>
      <c r="P231" s="5"/>
      <c r="Q231" s="38">
        <f t="shared" si="45"/>
        <v>3095.8100000000559</v>
      </c>
      <c r="R231" s="58"/>
      <c r="S231" s="6"/>
      <c r="T231" s="1"/>
      <c r="U231" s="7"/>
      <c r="W231" s="7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ht="18" x14ac:dyDescent="0.25">
      <c r="A232" s="36">
        <f t="shared" si="47"/>
        <v>46218</v>
      </c>
      <c r="B232" s="37" t="s">
        <v>18</v>
      </c>
      <c r="C232" s="38">
        <f t="shared" si="46"/>
        <v>3095.8100000000559</v>
      </c>
      <c r="D232" s="2">
        <v>1936.5</v>
      </c>
      <c r="E232" s="2">
        <v>2452</v>
      </c>
      <c r="F232" s="2">
        <v>398</v>
      </c>
      <c r="G232" s="2">
        <v>539</v>
      </c>
      <c r="H232" s="3"/>
      <c r="I232" s="3"/>
      <c r="J232" s="3"/>
      <c r="K232" s="3"/>
      <c r="L232" s="38">
        <f t="shared" si="42"/>
        <v>5325.5</v>
      </c>
      <c r="M232" s="5"/>
      <c r="N232" s="38">
        <f t="shared" si="43"/>
        <v>3389</v>
      </c>
      <c r="O232" s="38">
        <f t="shared" si="44"/>
        <v>0</v>
      </c>
      <c r="P232" s="5"/>
      <c r="Q232" s="38">
        <f t="shared" si="45"/>
        <v>5032.3100000000559</v>
      </c>
      <c r="R232" s="58"/>
      <c r="S232" s="6"/>
      <c r="T232" s="1"/>
      <c r="U232" s="7"/>
      <c r="W232" s="7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ht="18" x14ac:dyDescent="0.25">
      <c r="A233" s="36">
        <f t="shared" si="47"/>
        <v>46219</v>
      </c>
      <c r="B233" s="37" t="s">
        <v>19</v>
      </c>
      <c r="C233" s="38">
        <f t="shared" si="46"/>
        <v>5032.3100000000559</v>
      </c>
      <c r="D233" s="2">
        <v>1550.5</v>
      </c>
      <c r="E233" s="2">
        <v>3136.25</v>
      </c>
      <c r="F233" s="2">
        <v>476.5</v>
      </c>
      <c r="G233" s="2"/>
      <c r="H233" s="3"/>
      <c r="I233" s="3"/>
      <c r="J233" s="3">
        <v>499</v>
      </c>
      <c r="K233" s="3"/>
      <c r="L233" s="38">
        <f t="shared" si="42"/>
        <v>5662.25</v>
      </c>
      <c r="M233" s="5"/>
      <c r="N233" s="38">
        <f t="shared" si="43"/>
        <v>3612.75</v>
      </c>
      <c r="O233" s="38">
        <f t="shared" si="44"/>
        <v>499</v>
      </c>
      <c r="P233" s="5"/>
      <c r="Q233" s="38">
        <f t="shared" si="45"/>
        <v>6582.8100000000559</v>
      </c>
      <c r="R233" s="58"/>
      <c r="S233" s="6"/>
      <c r="T233" s="1"/>
      <c r="U233" s="7"/>
      <c r="W233" s="7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ht="18" x14ac:dyDescent="0.25">
      <c r="A234" s="36">
        <f t="shared" si="47"/>
        <v>46220</v>
      </c>
      <c r="B234" s="37" t="s">
        <v>20</v>
      </c>
      <c r="C234" s="38">
        <f t="shared" si="46"/>
        <v>6582.8100000000559</v>
      </c>
      <c r="D234" s="2">
        <v>663</v>
      </c>
      <c r="E234" s="2">
        <v>3032.5</v>
      </c>
      <c r="F234" s="2">
        <v>327</v>
      </c>
      <c r="G234" s="2"/>
      <c r="H234" s="3"/>
      <c r="I234" s="3"/>
      <c r="J234" s="3"/>
      <c r="K234" s="3"/>
      <c r="L234" s="38">
        <f t="shared" si="42"/>
        <v>4022.5</v>
      </c>
      <c r="M234" s="5"/>
      <c r="N234" s="38">
        <f t="shared" si="43"/>
        <v>3359.5</v>
      </c>
      <c r="O234" s="38">
        <f t="shared" si="44"/>
        <v>0</v>
      </c>
      <c r="P234" s="5"/>
      <c r="Q234" s="38">
        <f t="shared" si="45"/>
        <v>7245.8100000000559</v>
      </c>
      <c r="R234" s="58"/>
      <c r="S234" s="6"/>
      <c r="T234" s="1"/>
      <c r="U234" s="7"/>
      <c r="W234" s="7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ht="18" x14ac:dyDescent="0.25">
      <c r="A235" s="36">
        <f t="shared" si="47"/>
        <v>46221</v>
      </c>
      <c r="B235" s="37" t="s">
        <v>21</v>
      </c>
      <c r="C235" s="38">
        <f t="shared" si="46"/>
        <v>7245.8100000000559</v>
      </c>
      <c r="D235" s="2">
        <v>241.5</v>
      </c>
      <c r="E235" s="2">
        <v>1837.5</v>
      </c>
      <c r="F235" s="2">
        <v>447</v>
      </c>
      <c r="G235" s="2">
        <v>420</v>
      </c>
      <c r="H235" s="3"/>
      <c r="I235" s="3"/>
      <c r="J235" s="3">
        <v>129</v>
      </c>
      <c r="K235" s="3"/>
      <c r="L235" s="38">
        <f t="shared" si="42"/>
        <v>3075</v>
      </c>
      <c r="M235" s="5"/>
      <c r="N235" s="38">
        <f t="shared" si="43"/>
        <v>2704.5</v>
      </c>
      <c r="O235" s="38">
        <f t="shared" si="44"/>
        <v>129</v>
      </c>
      <c r="P235" s="5"/>
      <c r="Q235" s="38">
        <f t="shared" si="45"/>
        <v>7487.3100000000559</v>
      </c>
      <c r="R235" s="58"/>
      <c r="S235" s="6"/>
      <c r="T235" s="1"/>
      <c r="U235" s="7"/>
      <c r="W235" s="7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ht="18" x14ac:dyDescent="0.25">
      <c r="A236" s="36">
        <f t="shared" si="47"/>
        <v>46222</v>
      </c>
      <c r="B236" s="37" t="s">
        <v>23</v>
      </c>
      <c r="C236" s="38">
        <f t="shared" si="46"/>
        <v>7487.3100000000559</v>
      </c>
      <c r="D236" s="2">
        <v>787</v>
      </c>
      <c r="E236" s="2">
        <v>1547</v>
      </c>
      <c r="F236" s="2">
        <v>173</v>
      </c>
      <c r="G236" s="2">
        <v>160</v>
      </c>
      <c r="H236" s="3"/>
      <c r="I236" s="3"/>
      <c r="J236" s="3"/>
      <c r="K236" s="3"/>
      <c r="L236" s="38">
        <f t="shared" si="42"/>
        <v>2667</v>
      </c>
      <c r="M236" s="5">
        <v>4400</v>
      </c>
      <c r="N236" s="38">
        <f t="shared" si="43"/>
        <v>1880</v>
      </c>
      <c r="O236" s="38">
        <f t="shared" si="44"/>
        <v>0</v>
      </c>
      <c r="P236" s="5"/>
      <c r="Q236" s="38">
        <f t="shared" si="45"/>
        <v>3874.3100000000559</v>
      </c>
      <c r="R236" s="58"/>
      <c r="S236" s="6" t="s">
        <v>97</v>
      </c>
      <c r="T236" s="1"/>
      <c r="U236" s="7"/>
      <c r="W236" s="7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ht="18" x14ac:dyDescent="0.25">
      <c r="A237" s="36">
        <f t="shared" si="47"/>
        <v>46223</v>
      </c>
      <c r="B237" s="37" t="s">
        <v>24</v>
      </c>
      <c r="C237" s="38">
        <f t="shared" si="46"/>
        <v>3874.3100000000559</v>
      </c>
      <c r="D237" s="2">
        <v>521</v>
      </c>
      <c r="E237" s="2">
        <v>2067</v>
      </c>
      <c r="F237" s="2">
        <v>347</v>
      </c>
      <c r="G237" s="2"/>
      <c r="H237" s="3"/>
      <c r="I237" s="3"/>
      <c r="J237" s="3"/>
      <c r="K237" s="3"/>
      <c r="L237" s="38">
        <f t="shared" si="42"/>
        <v>2935</v>
      </c>
      <c r="M237" s="5"/>
      <c r="N237" s="38">
        <f t="shared" si="43"/>
        <v>2414</v>
      </c>
      <c r="O237" s="38">
        <f t="shared" si="44"/>
        <v>0</v>
      </c>
      <c r="P237" s="5"/>
      <c r="Q237" s="38">
        <f t="shared" si="45"/>
        <v>4395.3100000000559</v>
      </c>
      <c r="R237" s="58"/>
      <c r="S237" s="6"/>
      <c r="T237" s="1"/>
      <c r="U237" s="7"/>
      <c r="W237" s="7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ht="18" x14ac:dyDescent="0.25">
      <c r="A238" s="36">
        <f t="shared" si="47"/>
        <v>46224</v>
      </c>
      <c r="B238" s="37" t="s">
        <v>17</v>
      </c>
      <c r="C238" s="38">
        <f t="shared" si="46"/>
        <v>4395.3100000000559</v>
      </c>
      <c r="D238" s="2">
        <v>58</v>
      </c>
      <c r="E238" s="2">
        <v>3288</v>
      </c>
      <c r="F238" s="2">
        <v>554</v>
      </c>
      <c r="G238" s="2">
        <v>292.5</v>
      </c>
      <c r="H238" s="3"/>
      <c r="I238" s="3"/>
      <c r="J238" s="3"/>
      <c r="K238" s="3"/>
      <c r="L238" s="38">
        <f t="shared" si="42"/>
        <v>4192.5</v>
      </c>
      <c r="M238" s="5"/>
      <c r="N238" s="38">
        <f t="shared" si="43"/>
        <v>4134.5</v>
      </c>
      <c r="O238" s="38">
        <f t="shared" si="44"/>
        <v>0</v>
      </c>
      <c r="P238" s="5"/>
      <c r="Q238" s="38">
        <f t="shared" si="45"/>
        <v>4453.3100000000559</v>
      </c>
      <c r="R238" s="58"/>
      <c r="S238" s="6"/>
      <c r="T238" s="1"/>
      <c r="U238" s="7"/>
      <c r="W238" s="7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ht="18" x14ac:dyDescent="0.25">
      <c r="A239" s="36">
        <f t="shared" si="47"/>
        <v>46225</v>
      </c>
      <c r="B239" s="37" t="s">
        <v>25</v>
      </c>
      <c r="C239" s="38">
        <f t="shared" si="46"/>
        <v>4453.3100000000559</v>
      </c>
      <c r="D239" s="2">
        <v>1185</v>
      </c>
      <c r="E239" s="2">
        <v>2370</v>
      </c>
      <c r="F239" s="2">
        <v>590</v>
      </c>
      <c r="G239" s="2">
        <v>289</v>
      </c>
      <c r="H239" s="3"/>
      <c r="I239" s="3"/>
      <c r="J239" s="3">
        <v>139</v>
      </c>
      <c r="K239" s="3"/>
      <c r="L239" s="38">
        <f t="shared" si="42"/>
        <v>4573</v>
      </c>
      <c r="M239" s="5"/>
      <c r="N239" s="38">
        <f t="shared" si="43"/>
        <v>3249</v>
      </c>
      <c r="O239" s="38">
        <f t="shared" si="44"/>
        <v>139</v>
      </c>
      <c r="P239" s="5"/>
      <c r="Q239" s="38">
        <f t="shared" si="45"/>
        <v>5638.3100000000559</v>
      </c>
      <c r="R239" s="58"/>
      <c r="S239" s="6"/>
      <c r="T239" s="1"/>
      <c r="U239" s="7"/>
      <c r="W239" s="7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ht="18" x14ac:dyDescent="0.25">
      <c r="A240" s="36">
        <f t="shared" si="47"/>
        <v>46226</v>
      </c>
      <c r="B240" s="37" t="s">
        <v>19</v>
      </c>
      <c r="C240" s="38">
        <f t="shared" si="46"/>
        <v>5638.3100000000559</v>
      </c>
      <c r="D240" s="2">
        <v>726.5</v>
      </c>
      <c r="E240" s="2">
        <v>4931</v>
      </c>
      <c r="F240" s="2">
        <v>501</v>
      </c>
      <c r="G240" s="2">
        <v>596</v>
      </c>
      <c r="H240" s="3"/>
      <c r="I240" s="3"/>
      <c r="J240" s="3">
        <v>149</v>
      </c>
      <c r="K240" s="3"/>
      <c r="L240" s="38">
        <f t="shared" si="42"/>
        <v>6903.5</v>
      </c>
      <c r="M240" s="5"/>
      <c r="N240" s="38">
        <f t="shared" si="43"/>
        <v>6028</v>
      </c>
      <c r="O240" s="38">
        <f t="shared" si="44"/>
        <v>149</v>
      </c>
      <c r="P240" s="5"/>
      <c r="Q240" s="38">
        <f t="shared" si="45"/>
        <v>6364.8100000000559</v>
      </c>
      <c r="R240" s="58"/>
      <c r="S240" s="6"/>
      <c r="T240" s="1"/>
      <c r="U240" s="7"/>
      <c r="W240" s="7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ht="18" x14ac:dyDescent="0.25">
      <c r="A241" s="36">
        <f t="shared" si="47"/>
        <v>46227</v>
      </c>
      <c r="B241" s="37" t="s">
        <v>20</v>
      </c>
      <c r="C241" s="38">
        <f t="shared" si="46"/>
        <v>6364.8100000000559</v>
      </c>
      <c r="D241" s="2">
        <v>877.5</v>
      </c>
      <c r="E241" s="2">
        <v>4052.25</v>
      </c>
      <c r="F241" s="2">
        <v>1385</v>
      </c>
      <c r="G241" s="2">
        <v>136</v>
      </c>
      <c r="H241" s="3"/>
      <c r="I241" s="3"/>
      <c r="J241" s="3"/>
      <c r="K241" s="3"/>
      <c r="L241" s="38">
        <f t="shared" si="42"/>
        <v>6450.75</v>
      </c>
      <c r="M241" s="5"/>
      <c r="N241" s="38">
        <f t="shared" si="43"/>
        <v>5573.25</v>
      </c>
      <c r="O241" s="38">
        <f t="shared" si="44"/>
        <v>0</v>
      </c>
      <c r="P241" s="5"/>
      <c r="Q241" s="38">
        <f t="shared" si="45"/>
        <v>7242.3100000000559</v>
      </c>
      <c r="R241" s="58"/>
      <c r="S241" s="6"/>
      <c r="T241" s="1"/>
      <c r="U241" s="7"/>
      <c r="W241" s="7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ht="18" x14ac:dyDescent="0.25">
      <c r="A242" s="36">
        <f t="shared" si="47"/>
        <v>46228</v>
      </c>
      <c r="B242" s="37" t="s">
        <v>21</v>
      </c>
      <c r="C242" s="38">
        <f t="shared" si="46"/>
        <v>7242.3100000000559</v>
      </c>
      <c r="D242" s="2">
        <v>410</v>
      </c>
      <c r="E242" s="2">
        <v>3065</v>
      </c>
      <c r="F242" s="2">
        <v>243</v>
      </c>
      <c r="G242" s="2">
        <v>94.5</v>
      </c>
      <c r="H242" s="3"/>
      <c r="I242" s="3"/>
      <c r="J242" s="3"/>
      <c r="K242" s="3"/>
      <c r="L242" s="38">
        <f t="shared" si="42"/>
        <v>3812.5</v>
      </c>
      <c r="M242" s="5"/>
      <c r="N242" s="38">
        <f t="shared" si="43"/>
        <v>3402.5</v>
      </c>
      <c r="O242" s="38">
        <f t="shared" si="44"/>
        <v>0</v>
      </c>
      <c r="P242" s="5"/>
      <c r="Q242" s="38">
        <f t="shared" si="45"/>
        <v>7652.3100000000559</v>
      </c>
      <c r="R242" s="58"/>
      <c r="S242" s="6"/>
      <c r="T242" s="1"/>
      <c r="U242" s="7"/>
      <c r="W242" s="7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ht="18" x14ac:dyDescent="0.25">
      <c r="A243" s="36">
        <f t="shared" si="47"/>
        <v>46229</v>
      </c>
      <c r="B243" s="37" t="s">
        <v>23</v>
      </c>
      <c r="C243" s="38">
        <f t="shared" si="46"/>
        <v>7652.3100000000559</v>
      </c>
      <c r="D243" s="2">
        <v>371</v>
      </c>
      <c r="E243" s="2">
        <v>1593</v>
      </c>
      <c r="F243" s="2">
        <v>1493</v>
      </c>
      <c r="G243" s="2">
        <v>378</v>
      </c>
      <c r="H243" s="3"/>
      <c r="I243" s="3"/>
      <c r="J243" s="3"/>
      <c r="K243" s="3"/>
      <c r="L243" s="38">
        <f t="shared" si="42"/>
        <v>3835</v>
      </c>
      <c r="M243" s="5">
        <v>3700</v>
      </c>
      <c r="N243" s="38">
        <f t="shared" si="43"/>
        <v>3464</v>
      </c>
      <c r="O243" s="38">
        <f t="shared" si="44"/>
        <v>0</v>
      </c>
      <c r="P243" s="5"/>
      <c r="Q243" s="38">
        <f t="shared" si="45"/>
        <v>4323.3100000000559</v>
      </c>
      <c r="R243" s="58"/>
      <c r="S243" s="6" t="s">
        <v>98</v>
      </c>
      <c r="T243" s="1"/>
      <c r="U243" s="7"/>
      <c r="W243" s="7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ht="18" x14ac:dyDescent="0.25">
      <c r="A244" s="36">
        <f t="shared" si="47"/>
        <v>46230</v>
      </c>
      <c r="B244" s="37" t="s">
        <v>24</v>
      </c>
      <c r="C244" s="38">
        <f t="shared" si="46"/>
        <v>4323.3100000000559</v>
      </c>
      <c r="D244" s="2">
        <v>-379.75</v>
      </c>
      <c r="E244" s="2">
        <v>6685.75</v>
      </c>
      <c r="F244" s="2">
        <v>611.5</v>
      </c>
      <c r="G244" s="2">
        <v>250</v>
      </c>
      <c r="H244" s="3"/>
      <c r="I244" s="3"/>
      <c r="J244" s="3"/>
      <c r="K244" s="3"/>
      <c r="L244" s="38">
        <f t="shared" si="42"/>
        <v>7167.5</v>
      </c>
      <c r="M244" s="5"/>
      <c r="N244" s="38">
        <f t="shared" si="43"/>
        <v>7547.25</v>
      </c>
      <c r="O244" s="38">
        <f t="shared" si="44"/>
        <v>0</v>
      </c>
      <c r="P244" s="5"/>
      <c r="Q244" s="38">
        <f t="shared" si="45"/>
        <v>3943.5600000000559</v>
      </c>
      <c r="R244" s="58"/>
      <c r="S244" s="6"/>
      <c r="T244" s="1"/>
      <c r="U244" s="7"/>
      <c r="W244" s="7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ht="18" x14ac:dyDescent="0.25">
      <c r="A245" s="36">
        <f t="shared" si="47"/>
        <v>46231</v>
      </c>
      <c r="B245" s="37" t="s">
        <v>17</v>
      </c>
      <c r="C245" s="38">
        <f t="shared" si="46"/>
        <v>3943.5600000000559</v>
      </c>
      <c r="D245" s="2">
        <v>-83</v>
      </c>
      <c r="E245" s="2">
        <v>5121</v>
      </c>
      <c r="F245" s="2">
        <v>1543</v>
      </c>
      <c r="G245" s="2">
        <v>40</v>
      </c>
      <c r="H245" s="3"/>
      <c r="I245" s="3"/>
      <c r="J245" s="3">
        <v>1629</v>
      </c>
      <c r="K245" s="3"/>
      <c r="L245" s="38">
        <f t="shared" si="42"/>
        <v>8250</v>
      </c>
      <c r="M245" s="5"/>
      <c r="N245" s="38">
        <f t="shared" si="43"/>
        <v>6704</v>
      </c>
      <c r="O245" s="38">
        <f t="shared" si="44"/>
        <v>1629</v>
      </c>
      <c r="P245" s="5"/>
      <c r="Q245" s="38">
        <f t="shared" si="45"/>
        <v>3860.5600000000559</v>
      </c>
      <c r="R245" s="58"/>
      <c r="S245" s="6"/>
      <c r="T245" s="1"/>
      <c r="U245" s="7"/>
      <c r="W245" s="7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ht="18" x14ac:dyDescent="0.25">
      <c r="A246" s="36">
        <f t="shared" si="47"/>
        <v>46232</v>
      </c>
      <c r="B246" s="37" t="s">
        <v>25</v>
      </c>
      <c r="C246" s="38">
        <f t="shared" si="46"/>
        <v>3860.5600000000559</v>
      </c>
      <c r="D246" s="2">
        <v>800.5</v>
      </c>
      <c r="E246" s="2">
        <v>5011</v>
      </c>
      <c r="F246" s="2">
        <v>522</v>
      </c>
      <c r="G246" s="2">
        <v>810.5</v>
      </c>
      <c r="H246" s="3"/>
      <c r="I246" s="3"/>
      <c r="J246" s="3"/>
      <c r="K246" s="3"/>
      <c r="L246" s="38">
        <f t="shared" si="42"/>
        <v>7144</v>
      </c>
      <c r="M246" s="5"/>
      <c r="N246" s="38">
        <f t="shared" si="43"/>
        <v>6343.5</v>
      </c>
      <c r="O246" s="38">
        <f t="shared" si="44"/>
        <v>0</v>
      </c>
      <c r="P246" s="5"/>
      <c r="Q246" s="38">
        <f t="shared" si="45"/>
        <v>4661.0600000000559</v>
      </c>
      <c r="R246" s="58"/>
      <c r="S246" s="6"/>
      <c r="T246" s="1"/>
      <c r="U246" s="7"/>
      <c r="W246" s="7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ht="18" x14ac:dyDescent="0.25">
      <c r="A247" s="36">
        <f t="shared" si="47"/>
        <v>46233</v>
      </c>
      <c r="B247" s="37" t="s">
        <v>19</v>
      </c>
      <c r="C247" s="38">
        <f t="shared" si="46"/>
        <v>4661.0600000000559</v>
      </c>
      <c r="D247" s="2">
        <v>751</v>
      </c>
      <c r="E247" s="2">
        <v>3157</v>
      </c>
      <c r="F247" s="2">
        <v>659</v>
      </c>
      <c r="G247" s="2"/>
      <c r="H247" s="3"/>
      <c r="I247" s="3"/>
      <c r="J247" s="3">
        <v>375</v>
      </c>
      <c r="K247" s="3"/>
      <c r="L247" s="38">
        <f t="shared" si="42"/>
        <v>4942</v>
      </c>
      <c r="M247" s="5"/>
      <c r="N247" s="38">
        <f t="shared" si="43"/>
        <v>3816</v>
      </c>
      <c r="O247" s="38">
        <f t="shared" si="44"/>
        <v>375</v>
      </c>
      <c r="P247" s="5"/>
      <c r="Q247" s="38">
        <f t="shared" si="45"/>
        <v>5412.0600000000559</v>
      </c>
      <c r="R247" s="58"/>
      <c r="S247" s="6"/>
      <c r="T247" s="1"/>
      <c r="U247" s="7"/>
      <c r="W247" s="7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ht="18.75" thickBot="1" x14ac:dyDescent="0.3">
      <c r="A248" s="49">
        <f t="shared" si="47"/>
        <v>46234</v>
      </c>
      <c r="B248" s="75" t="s">
        <v>26</v>
      </c>
      <c r="C248" s="40">
        <f t="shared" si="46"/>
        <v>5412.0600000000559</v>
      </c>
      <c r="D248" s="9">
        <v>405</v>
      </c>
      <c r="E248" s="9">
        <v>3107</v>
      </c>
      <c r="F248" s="9">
        <v>3613.5</v>
      </c>
      <c r="G248" s="9"/>
      <c r="H248" s="10"/>
      <c r="I248" s="10"/>
      <c r="J248" s="10">
        <v>577</v>
      </c>
      <c r="K248" s="10"/>
      <c r="L248" s="40">
        <f t="shared" si="42"/>
        <v>7702.5</v>
      </c>
      <c r="M248" s="19">
        <v>3950</v>
      </c>
      <c r="N248" s="40">
        <f t="shared" si="43"/>
        <v>6720.5</v>
      </c>
      <c r="O248" s="40">
        <f t="shared" si="44"/>
        <v>577</v>
      </c>
      <c r="P248" s="19"/>
      <c r="Q248" s="40">
        <f t="shared" si="45"/>
        <v>1867.0600000000559</v>
      </c>
      <c r="R248" s="60"/>
      <c r="S248" s="12" t="s">
        <v>99</v>
      </c>
      <c r="T248" s="1"/>
      <c r="U248" s="7"/>
      <c r="W248" s="7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ht="19.5" thickTop="1" thickBot="1" x14ac:dyDescent="0.3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1"/>
      <c r="U249" s="7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ht="19.5" thickTop="1" thickBot="1" x14ac:dyDescent="0.3">
      <c r="A250" s="84"/>
      <c r="B250" s="85"/>
      <c r="C250" s="86"/>
      <c r="D250" s="13">
        <f t="shared" ref="D250:P250" si="48">SUM(D218:D248)</f>
        <v>20763.75</v>
      </c>
      <c r="E250" s="13">
        <f t="shared" si="48"/>
        <v>101418.25</v>
      </c>
      <c r="F250" s="13">
        <f t="shared" si="48"/>
        <v>22569.5</v>
      </c>
      <c r="G250" s="13">
        <f t="shared" si="48"/>
        <v>8523</v>
      </c>
      <c r="H250" s="13">
        <f t="shared" si="48"/>
        <v>0</v>
      </c>
      <c r="I250" s="13">
        <f t="shared" si="48"/>
        <v>0</v>
      </c>
      <c r="J250" s="13">
        <f t="shared" si="48"/>
        <v>6566</v>
      </c>
      <c r="K250" s="13">
        <f t="shared" si="48"/>
        <v>0</v>
      </c>
      <c r="L250" s="38">
        <f t="shared" si="48"/>
        <v>159840.5</v>
      </c>
      <c r="M250" s="13">
        <f t="shared" si="48"/>
        <v>23700</v>
      </c>
      <c r="N250" s="38">
        <f t="shared" si="48"/>
        <v>132510.75</v>
      </c>
      <c r="O250" s="38">
        <f t="shared" si="48"/>
        <v>6566</v>
      </c>
      <c r="P250" s="13">
        <f t="shared" si="48"/>
        <v>0</v>
      </c>
      <c r="Q250" s="38">
        <f>C218+C250+L250+-M250-N250-O250-P250</f>
        <v>1867.0600000000559</v>
      </c>
      <c r="R250" s="63"/>
      <c r="S250" s="14"/>
      <c r="U250" s="7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ht="19.5" thickTop="1" thickBot="1" x14ac:dyDescent="0.3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1"/>
      <c r="U251" s="7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ht="20.25" customHeight="1" thickTop="1" thickBot="1" x14ac:dyDescent="0.3">
      <c r="A252" s="94" t="s">
        <v>0</v>
      </c>
      <c r="B252" s="96" t="s">
        <v>1</v>
      </c>
      <c r="C252" s="98" t="s">
        <v>2</v>
      </c>
      <c r="D252" s="80" t="s">
        <v>3</v>
      </c>
      <c r="E252" s="100" t="s">
        <v>4</v>
      </c>
      <c r="F252" s="101"/>
      <c r="G252" s="101"/>
      <c r="H252" s="101"/>
      <c r="I252" s="101"/>
      <c r="J252" s="101"/>
      <c r="K252" s="102"/>
      <c r="L252" s="80" t="s">
        <v>5</v>
      </c>
      <c r="M252" s="80" t="s">
        <v>6</v>
      </c>
      <c r="N252" s="80" t="s">
        <v>7</v>
      </c>
      <c r="O252" s="80" t="s">
        <v>8</v>
      </c>
      <c r="P252" s="80" t="s">
        <v>9</v>
      </c>
      <c r="Q252" s="82" t="s">
        <v>10</v>
      </c>
      <c r="R252" s="82" t="s">
        <v>34</v>
      </c>
      <c r="S252" s="82" t="s">
        <v>11</v>
      </c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ht="19.5" thickTop="1" thickBot="1" x14ac:dyDescent="0.3">
      <c r="A253" s="95"/>
      <c r="B253" s="97"/>
      <c r="C253" s="99"/>
      <c r="D253" s="81"/>
      <c r="E253" s="41" t="s">
        <v>12</v>
      </c>
      <c r="F253" s="42" t="s">
        <v>13</v>
      </c>
      <c r="G253" s="41" t="s">
        <v>14</v>
      </c>
      <c r="H253" s="41" t="s">
        <v>15</v>
      </c>
      <c r="I253" s="41" t="s">
        <v>45</v>
      </c>
      <c r="J253" s="42" t="s">
        <v>44</v>
      </c>
      <c r="K253" s="42" t="s">
        <v>46</v>
      </c>
      <c r="L253" s="81"/>
      <c r="M253" s="81"/>
      <c r="N253" s="81"/>
      <c r="O253" s="81"/>
      <c r="P253" s="81"/>
      <c r="Q253" s="83"/>
      <c r="R253" s="83"/>
      <c r="S253" s="83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ht="18.75" thickTop="1" x14ac:dyDescent="0.25">
      <c r="A254" s="36">
        <f>A248+1</f>
        <v>46235</v>
      </c>
      <c r="B254" s="37" t="s">
        <v>21</v>
      </c>
      <c r="C254" s="38">
        <f>SUM(Q248)</f>
        <v>1867.0600000000559</v>
      </c>
      <c r="D254" s="15">
        <v>274.5</v>
      </c>
      <c r="E254" s="15">
        <v>4890</v>
      </c>
      <c r="F254" s="15">
        <v>193</v>
      </c>
      <c r="G254" s="15"/>
      <c r="H254" s="15"/>
      <c r="I254" s="15"/>
      <c r="J254" s="15">
        <v>208</v>
      </c>
      <c r="K254" s="15"/>
      <c r="L254" s="38">
        <f t="shared" ref="L254:L284" si="49">SUM(D254:K254)</f>
        <v>5565.5</v>
      </c>
      <c r="M254" s="4"/>
      <c r="N254" s="38">
        <f t="shared" ref="N254:N284" si="50">SUM(E254+F254+G254+H254)</f>
        <v>5083</v>
      </c>
      <c r="O254" s="38">
        <f t="shared" ref="O254:O284" si="51">I254+K254+J254</f>
        <v>208</v>
      </c>
      <c r="P254" s="4"/>
      <c r="Q254" s="38">
        <f t="shared" ref="Q254:Q284" si="52">C254+L254+-M254-N254-O254-P254</f>
        <v>2141.5600000000559</v>
      </c>
      <c r="R254" s="58"/>
      <c r="S254" s="6"/>
      <c r="T254" s="1"/>
      <c r="U254" s="7"/>
      <c r="W254" s="7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ht="18" x14ac:dyDescent="0.25">
      <c r="A255" s="36">
        <f>A254+1</f>
        <v>46236</v>
      </c>
      <c r="B255" s="37" t="s">
        <v>22</v>
      </c>
      <c r="C255" s="38">
        <f t="shared" ref="C255:C284" si="53">Q254</f>
        <v>2141.5600000000559</v>
      </c>
      <c r="D255" s="15">
        <v>-419.5</v>
      </c>
      <c r="E255" s="15">
        <v>3101</v>
      </c>
      <c r="F255" s="15">
        <v>1094</v>
      </c>
      <c r="G255" s="15">
        <v>15</v>
      </c>
      <c r="H255" s="15"/>
      <c r="I255" s="15"/>
      <c r="J255" s="15"/>
      <c r="K255" s="15"/>
      <c r="L255" s="38">
        <f t="shared" si="49"/>
        <v>3790.5</v>
      </c>
      <c r="M255" s="4"/>
      <c r="N255" s="38">
        <f t="shared" si="50"/>
        <v>4210</v>
      </c>
      <c r="O255" s="38">
        <f t="shared" si="51"/>
        <v>0</v>
      </c>
      <c r="P255" s="4"/>
      <c r="Q255" s="38">
        <f t="shared" si="52"/>
        <v>1722.0600000000559</v>
      </c>
      <c r="R255" s="58"/>
      <c r="S255" s="6"/>
      <c r="T255" s="1"/>
      <c r="U255" s="7"/>
      <c r="W255" s="7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ht="18" x14ac:dyDescent="0.25">
      <c r="A256" s="36">
        <f t="shared" ref="A256:A284" si="54">A255+1</f>
        <v>46237</v>
      </c>
      <c r="B256" s="37" t="s">
        <v>16</v>
      </c>
      <c r="C256" s="38">
        <f t="shared" si="53"/>
        <v>1722.0600000000559</v>
      </c>
      <c r="D256" s="15">
        <v>1</v>
      </c>
      <c r="E256" s="15">
        <v>2671</v>
      </c>
      <c r="F256" s="15"/>
      <c r="G256" s="15"/>
      <c r="H256" s="15"/>
      <c r="I256" s="15"/>
      <c r="J256" s="15"/>
      <c r="K256" s="15"/>
      <c r="L256" s="38">
        <f t="shared" si="49"/>
        <v>2672</v>
      </c>
      <c r="M256" s="4"/>
      <c r="N256" s="38">
        <f t="shared" si="50"/>
        <v>2671</v>
      </c>
      <c r="O256" s="38">
        <f t="shared" si="51"/>
        <v>0</v>
      </c>
      <c r="P256" s="4"/>
      <c r="Q256" s="38">
        <f t="shared" si="52"/>
        <v>1723.0600000000559</v>
      </c>
      <c r="R256" s="58"/>
      <c r="S256" s="6"/>
      <c r="T256" s="1"/>
      <c r="U256" s="7"/>
      <c r="W256" s="7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ht="18" x14ac:dyDescent="0.25">
      <c r="A257" s="36">
        <f t="shared" si="54"/>
        <v>46238</v>
      </c>
      <c r="B257" s="37" t="s">
        <v>17</v>
      </c>
      <c r="C257" s="38">
        <f t="shared" si="53"/>
        <v>1723.0600000000559</v>
      </c>
      <c r="D257" s="15">
        <v>842</v>
      </c>
      <c r="E257" s="15">
        <v>2583</v>
      </c>
      <c r="F257" s="15">
        <v>458</v>
      </c>
      <c r="G257" s="15"/>
      <c r="H257" s="15"/>
      <c r="I257" s="15"/>
      <c r="J257" s="15">
        <v>908</v>
      </c>
      <c r="K257" s="15"/>
      <c r="L257" s="38">
        <f t="shared" si="49"/>
        <v>4791</v>
      </c>
      <c r="M257" s="4"/>
      <c r="N257" s="38">
        <f t="shared" si="50"/>
        <v>3041</v>
      </c>
      <c r="O257" s="38">
        <f t="shared" si="51"/>
        <v>908</v>
      </c>
      <c r="P257" s="4"/>
      <c r="Q257" s="38">
        <f t="shared" si="52"/>
        <v>2565.0600000000559</v>
      </c>
      <c r="R257" s="58"/>
      <c r="S257" s="6"/>
      <c r="T257" s="1"/>
      <c r="U257" s="7"/>
      <c r="W257" s="7"/>
    </row>
    <row r="258" spans="1:53" ht="18" x14ac:dyDescent="0.25">
      <c r="A258" s="36">
        <f t="shared" si="54"/>
        <v>46239</v>
      </c>
      <c r="B258" s="37" t="s">
        <v>18</v>
      </c>
      <c r="C258" s="38">
        <f t="shared" si="53"/>
        <v>2565.0600000000559</v>
      </c>
      <c r="D258" s="15">
        <v>-88</v>
      </c>
      <c r="E258" s="15">
        <v>1603.5</v>
      </c>
      <c r="F258" s="15">
        <v>338</v>
      </c>
      <c r="G258" s="15"/>
      <c r="H258" s="15"/>
      <c r="I258" s="15"/>
      <c r="J258" s="15">
        <v>354</v>
      </c>
      <c r="K258" s="15"/>
      <c r="L258" s="38">
        <f t="shared" si="49"/>
        <v>2207.5</v>
      </c>
      <c r="M258" s="4"/>
      <c r="N258" s="38">
        <f t="shared" si="50"/>
        <v>1941.5</v>
      </c>
      <c r="O258" s="38">
        <f t="shared" si="51"/>
        <v>354</v>
      </c>
      <c r="P258" s="4"/>
      <c r="Q258" s="38">
        <f t="shared" si="52"/>
        <v>2477.0600000000559</v>
      </c>
      <c r="R258" s="58"/>
      <c r="S258" s="6"/>
      <c r="T258" s="1"/>
      <c r="U258" s="7"/>
      <c r="W258" s="7"/>
    </row>
    <row r="259" spans="1:53" ht="18" x14ac:dyDescent="0.25">
      <c r="A259" s="36">
        <f t="shared" si="54"/>
        <v>46240</v>
      </c>
      <c r="B259" s="37" t="s">
        <v>19</v>
      </c>
      <c r="C259" s="38">
        <f t="shared" si="53"/>
        <v>2477.0600000000559</v>
      </c>
      <c r="D259" s="15">
        <v>38</v>
      </c>
      <c r="E259" s="15">
        <v>4411.5</v>
      </c>
      <c r="F259" s="15">
        <v>586</v>
      </c>
      <c r="G259" s="15">
        <v>250</v>
      </c>
      <c r="H259" s="15"/>
      <c r="I259" s="15"/>
      <c r="J259" s="15">
        <v>1524</v>
      </c>
      <c r="K259" s="15"/>
      <c r="L259" s="38">
        <f t="shared" si="49"/>
        <v>6809.5</v>
      </c>
      <c r="M259" s="4"/>
      <c r="N259" s="38">
        <f t="shared" si="50"/>
        <v>5247.5</v>
      </c>
      <c r="O259" s="38">
        <f t="shared" si="51"/>
        <v>1524</v>
      </c>
      <c r="P259" s="4"/>
      <c r="Q259" s="38">
        <f t="shared" si="52"/>
        <v>2515.0600000000559</v>
      </c>
      <c r="R259" s="58"/>
      <c r="S259" s="6"/>
      <c r="T259" s="1"/>
      <c r="U259" s="7"/>
      <c r="W259" s="7"/>
    </row>
    <row r="260" spans="1:53" ht="18" x14ac:dyDescent="0.25">
      <c r="A260" s="36">
        <f t="shared" si="54"/>
        <v>46241</v>
      </c>
      <c r="B260" s="37" t="s">
        <v>20</v>
      </c>
      <c r="C260" s="38">
        <f t="shared" si="53"/>
        <v>2515.0600000000559</v>
      </c>
      <c r="D260" s="15">
        <v>150</v>
      </c>
      <c r="E260" s="15">
        <v>3315</v>
      </c>
      <c r="F260" s="15">
        <v>318</v>
      </c>
      <c r="G260" s="15">
        <v>399</v>
      </c>
      <c r="H260" s="15"/>
      <c r="I260" s="15"/>
      <c r="J260" s="15"/>
      <c r="K260" s="15"/>
      <c r="L260" s="38">
        <f t="shared" si="49"/>
        <v>4182</v>
      </c>
      <c r="M260" s="4"/>
      <c r="N260" s="38">
        <f t="shared" si="50"/>
        <v>4032</v>
      </c>
      <c r="O260" s="38">
        <f t="shared" si="51"/>
        <v>0</v>
      </c>
      <c r="P260" s="4"/>
      <c r="Q260" s="38">
        <f t="shared" si="52"/>
        <v>2665.0600000000559</v>
      </c>
      <c r="R260" s="58"/>
      <c r="S260" s="6"/>
      <c r="T260" s="1"/>
      <c r="U260" s="7"/>
      <c r="W260" s="7"/>
    </row>
    <row r="261" spans="1:53" ht="18" x14ac:dyDescent="0.25">
      <c r="A261" s="36">
        <f t="shared" si="54"/>
        <v>46242</v>
      </c>
      <c r="B261" s="37" t="s">
        <v>21</v>
      </c>
      <c r="C261" s="38">
        <f t="shared" si="53"/>
        <v>2665.0600000000559</v>
      </c>
      <c r="D261" s="15">
        <v>715</v>
      </c>
      <c r="E261" s="15">
        <v>4382.75</v>
      </c>
      <c r="F261" s="15">
        <v>1101</v>
      </c>
      <c r="G261" s="15">
        <v>288</v>
      </c>
      <c r="H261" s="15"/>
      <c r="I261" s="15"/>
      <c r="J261" s="15">
        <v>617</v>
      </c>
      <c r="K261" s="15"/>
      <c r="L261" s="38">
        <f t="shared" si="49"/>
        <v>7103.75</v>
      </c>
      <c r="M261" s="4"/>
      <c r="N261" s="38">
        <f t="shared" si="50"/>
        <v>5771.75</v>
      </c>
      <c r="O261" s="38">
        <f t="shared" si="51"/>
        <v>617</v>
      </c>
      <c r="P261" s="4"/>
      <c r="Q261" s="38">
        <f t="shared" si="52"/>
        <v>3380.0600000000559</v>
      </c>
      <c r="R261" s="58"/>
      <c r="S261" s="6"/>
      <c r="T261" s="1"/>
      <c r="U261" s="7"/>
      <c r="W261" s="7"/>
    </row>
    <row r="262" spans="1:53" ht="18" x14ac:dyDescent="0.25">
      <c r="A262" s="36">
        <f t="shared" si="54"/>
        <v>46243</v>
      </c>
      <c r="B262" s="37" t="s">
        <v>22</v>
      </c>
      <c r="C262" s="38">
        <f t="shared" si="53"/>
        <v>3380.0600000000559</v>
      </c>
      <c r="D262" s="15">
        <v>823</v>
      </c>
      <c r="E262" s="15">
        <v>2380</v>
      </c>
      <c r="F262" s="15">
        <v>190</v>
      </c>
      <c r="G262" s="15"/>
      <c r="H262" s="15"/>
      <c r="I262" s="15"/>
      <c r="J262" s="15">
        <v>647</v>
      </c>
      <c r="K262" s="15"/>
      <c r="L262" s="38">
        <f t="shared" si="49"/>
        <v>4040</v>
      </c>
      <c r="M262" s="4"/>
      <c r="N262" s="38">
        <f t="shared" si="50"/>
        <v>2570</v>
      </c>
      <c r="O262" s="38">
        <f t="shared" si="51"/>
        <v>647</v>
      </c>
      <c r="P262" s="4"/>
      <c r="Q262" s="38">
        <f t="shared" si="52"/>
        <v>4203.0600000000559</v>
      </c>
      <c r="R262" s="58"/>
      <c r="S262" s="6"/>
      <c r="T262" s="1"/>
      <c r="U262" s="7"/>
      <c r="W262" s="7"/>
    </row>
    <row r="263" spans="1:53" ht="18" x14ac:dyDescent="0.25">
      <c r="A263" s="36">
        <f t="shared" si="54"/>
        <v>46244</v>
      </c>
      <c r="B263" s="37" t="s">
        <v>16</v>
      </c>
      <c r="C263" s="38">
        <f t="shared" si="53"/>
        <v>4203.0600000000559</v>
      </c>
      <c r="D263" s="15">
        <v>-397</v>
      </c>
      <c r="E263" s="15">
        <v>8111</v>
      </c>
      <c r="F263" s="15">
        <v>61</v>
      </c>
      <c r="G263" s="15">
        <v>1</v>
      </c>
      <c r="H263" s="15"/>
      <c r="I263" s="15"/>
      <c r="J263" s="15">
        <v>1592</v>
      </c>
      <c r="K263" s="15"/>
      <c r="L263" s="38">
        <f t="shared" si="49"/>
        <v>9368</v>
      </c>
      <c r="M263" s="4"/>
      <c r="N263" s="38">
        <f t="shared" si="50"/>
        <v>8173</v>
      </c>
      <c r="O263" s="38">
        <f t="shared" si="51"/>
        <v>1592</v>
      </c>
      <c r="P263" s="4"/>
      <c r="Q263" s="38">
        <f t="shared" si="52"/>
        <v>3806.0600000000559</v>
      </c>
      <c r="R263" s="58"/>
      <c r="S263" s="6"/>
      <c r="T263" s="1"/>
      <c r="U263" s="7"/>
      <c r="W263" s="7"/>
    </row>
    <row r="264" spans="1:53" ht="18" x14ac:dyDescent="0.25">
      <c r="A264" s="36">
        <f t="shared" si="54"/>
        <v>46245</v>
      </c>
      <c r="B264" s="37" t="s">
        <v>17</v>
      </c>
      <c r="C264" s="38">
        <f t="shared" si="53"/>
        <v>3806.0600000000559</v>
      </c>
      <c r="D264" s="15">
        <v>309</v>
      </c>
      <c r="E264" s="15">
        <v>1204</v>
      </c>
      <c r="F264" s="15">
        <v>342</v>
      </c>
      <c r="G264" s="15">
        <v>190</v>
      </c>
      <c r="H264" s="15"/>
      <c r="I264" s="15"/>
      <c r="J264" s="15"/>
      <c r="K264" s="15"/>
      <c r="L264" s="38">
        <f t="shared" si="49"/>
        <v>2045</v>
      </c>
      <c r="M264" s="4"/>
      <c r="N264" s="38">
        <f t="shared" si="50"/>
        <v>1736</v>
      </c>
      <c r="O264" s="38">
        <f t="shared" si="51"/>
        <v>0</v>
      </c>
      <c r="P264" s="4"/>
      <c r="Q264" s="38">
        <f t="shared" si="52"/>
        <v>4115.0600000000559</v>
      </c>
      <c r="R264" s="58"/>
      <c r="S264" s="6"/>
      <c r="T264" s="1"/>
      <c r="U264" s="7"/>
      <c r="W264" s="7"/>
    </row>
    <row r="265" spans="1:53" ht="18" x14ac:dyDescent="0.25">
      <c r="A265" s="36">
        <f t="shared" si="54"/>
        <v>46246</v>
      </c>
      <c r="B265" s="37" t="s">
        <v>18</v>
      </c>
      <c r="C265" s="38">
        <f t="shared" si="53"/>
        <v>4115.0600000000559</v>
      </c>
      <c r="D265" s="15">
        <v>29</v>
      </c>
      <c r="E265" s="15">
        <v>4896.75</v>
      </c>
      <c r="F265" s="15">
        <v>1118.5</v>
      </c>
      <c r="G265" s="15"/>
      <c r="H265" s="15"/>
      <c r="I265" s="15"/>
      <c r="J265" s="15">
        <v>259</v>
      </c>
      <c r="K265" s="15"/>
      <c r="L265" s="38">
        <f t="shared" si="49"/>
        <v>6303.25</v>
      </c>
      <c r="M265" s="4"/>
      <c r="N265" s="38">
        <f t="shared" si="50"/>
        <v>6015.25</v>
      </c>
      <c r="O265" s="38">
        <f t="shared" si="51"/>
        <v>259</v>
      </c>
      <c r="P265" s="4"/>
      <c r="Q265" s="38">
        <f t="shared" si="52"/>
        <v>4144.0600000000559</v>
      </c>
      <c r="R265" s="58"/>
      <c r="S265" s="6"/>
      <c r="T265" s="20"/>
      <c r="U265" s="22"/>
      <c r="V265" s="20"/>
      <c r="W265" s="21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</row>
    <row r="266" spans="1:53" ht="18" x14ac:dyDescent="0.25">
      <c r="A266" s="36">
        <f t="shared" si="54"/>
        <v>46247</v>
      </c>
      <c r="B266" s="37" t="s">
        <v>19</v>
      </c>
      <c r="C266" s="38">
        <f t="shared" si="53"/>
        <v>4144.0600000000559</v>
      </c>
      <c r="D266" s="15">
        <v>423</v>
      </c>
      <c r="E266" s="15">
        <v>4068.5</v>
      </c>
      <c r="F266" s="15">
        <v>764</v>
      </c>
      <c r="G266" s="15">
        <v>69</v>
      </c>
      <c r="H266" s="15"/>
      <c r="I266" s="15"/>
      <c r="J266" s="15"/>
      <c r="K266" s="15"/>
      <c r="L266" s="38">
        <f t="shared" si="49"/>
        <v>5324.5</v>
      </c>
      <c r="M266" s="4"/>
      <c r="N266" s="38">
        <f t="shared" si="50"/>
        <v>4901.5</v>
      </c>
      <c r="O266" s="38">
        <f t="shared" si="51"/>
        <v>0</v>
      </c>
      <c r="P266" s="4"/>
      <c r="Q266" s="38">
        <f t="shared" si="52"/>
        <v>4567.0600000000559</v>
      </c>
      <c r="R266" s="58"/>
      <c r="S266" s="6"/>
      <c r="T266" s="20"/>
      <c r="U266" s="22"/>
      <c r="V266" s="20"/>
      <c r="W266" s="21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</row>
    <row r="267" spans="1:53" ht="18" x14ac:dyDescent="0.25">
      <c r="A267" s="36">
        <f t="shared" si="54"/>
        <v>46248</v>
      </c>
      <c r="B267" s="37" t="s">
        <v>20</v>
      </c>
      <c r="C267" s="38">
        <f t="shared" si="53"/>
        <v>4567.0600000000559</v>
      </c>
      <c r="D267" s="15">
        <v>582</v>
      </c>
      <c r="E267" s="15">
        <v>5787.5</v>
      </c>
      <c r="F267" s="15">
        <v>250</v>
      </c>
      <c r="G267" s="15">
        <v>99</v>
      </c>
      <c r="H267" s="15"/>
      <c r="I267" s="15"/>
      <c r="J267" s="15">
        <v>499</v>
      </c>
      <c r="K267" s="15"/>
      <c r="L267" s="38">
        <f t="shared" si="49"/>
        <v>7217.5</v>
      </c>
      <c r="M267" s="4"/>
      <c r="N267" s="38">
        <f t="shared" si="50"/>
        <v>6136.5</v>
      </c>
      <c r="O267" s="38">
        <f t="shared" si="51"/>
        <v>499</v>
      </c>
      <c r="P267" s="4"/>
      <c r="Q267" s="38">
        <f t="shared" si="52"/>
        <v>5149.0600000000559</v>
      </c>
      <c r="R267" s="58"/>
      <c r="S267" s="6"/>
      <c r="T267" s="1"/>
      <c r="U267" s="23"/>
      <c r="W267" s="7"/>
    </row>
    <row r="268" spans="1:53" ht="18" x14ac:dyDescent="0.25">
      <c r="A268" s="36">
        <f t="shared" si="54"/>
        <v>46249</v>
      </c>
      <c r="B268" s="37" t="s">
        <v>21</v>
      </c>
      <c r="C268" s="38">
        <f t="shared" si="53"/>
        <v>5149.0600000000559</v>
      </c>
      <c r="D268" s="15">
        <v>803.5</v>
      </c>
      <c r="E268" s="15">
        <v>3280</v>
      </c>
      <c r="F268" s="15">
        <v>1222</v>
      </c>
      <c r="G268" s="15">
        <v>447</v>
      </c>
      <c r="H268" s="15"/>
      <c r="I268" s="15"/>
      <c r="J268" s="15"/>
      <c r="K268" s="15"/>
      <c r="L268" s="38">
        <f t="shared" si="49"/>
        <v>5752.5</v>
      </c>
      <c r="M268" s="4"/>
      <c r="N268" s="38">
        <f t="shared" si="50"/>
        <v>4949</v>
      </c>
      <c r="O268" s="38">
        <f t="shared" si="51"/>
        <v>0</v>
      </c>
      <c r="P268" s="4"/>
      <c r="Q268" s="38">
        <f t="shared" si="52"/>
        <v>5952.5600000000559</v>
      </c>
      <c r="R268" s="58"/>
      <c r="S268" s="6"/>
      <c r="T268" s="1"/>
      <c r="U268" s="23"/>
      <c r="W268" s="7"/>
    </row>
    <row r="269" spans="1:53" ht="18" x14ac:dyDescent="0.25">
      <c r="A269" s="36">
        <f t="shared" si="54"/>
        <v>46250</v>
      </c>
      <c r="B269" s="37" t="s">
        <v>22</v>
      </c>
      <c r="C269" s="38">
        <f t="shared" si="53"/>
        <v>5952.5600000000559</v>
      </c>
      <c r="D269" s="15">
        <v>-81</v>
      </c>
      <c r="E269" s="15">
        <v>2386</v>
      </c>
      <c r="F269" s="15">
        <v>865</v>
      </c>
      <c r="G269" s="15">
        <v>384</v>
      </c>
      <c r="H269" s="15"/>
      <c r="I269" s="15"/>
      <c r="J269" s="15">
        <v>709</v>
      </c>
      <c r="K269" s="15"/>
      <c r="L269" s="38">
        <f t="shared" si="49"/>
        <v>4263</v>
      </c>
      <c r="M269" s="4"/>
      <c r="N269" s="38">
        <f t="shared" si="50"/>
        <v>3635</v>
      </c>
      <c r="O269" s="38">
        <f t="shared" si="51"/>
        <v>709</v>
      </c>
      <c r="P269" s="4"/>
      <c r="Q269" s="38">
        <f t="shared" si="52"/>
        <v>5871.5600000000559</v>
      </c>
      <c r="R269" s="58"/>
      <c r="S269" s="6"/>
      <c r="T269" s="1"/>
      <c r="U269" s="23"/>
      <c r="W269" s="7"/>
    </row>
    <row r="270" spans="1:53" ht="18" x14ac:dyDescent="0.25">
      <c r="A270" s="36">
        <f t="shared" si="54"/>
        <v>46251</v>
      </c>
      <c r="B270" s="37" t="s">
        <v>16</v>
      </c>
      <c r="C270" s="38">
        <f t="shared" si="53"/>
        <v>5871.5600000000559</v>
      </c>
      <c r="D270" s="15">
        <v>1356.5</v>
      </c>
      <c r="E270" s="15">
        <v>3146.5</v>
      </c>
      <c r="F270" s="15">
        <v>265</v>
      </c>
      <c r="G270" s="15"/>
      <c r="H270" s="15"/>
      <c r="I270" s="15"/>
      <c r="J270" s="15"/>
      <c r="K270" s="15"/>
      <c r="L270" s="38">
        <f t="shared" si="49"/>
        <v>4768</v>
      </c>
      <c r="M270" s="4"/>
      <c r="N270" s="38">
        <f t="shared" si="50"/>
        <v>3411.5</v>
      </c>
      <c r="O270" s="38">
        <f t="shared" si="51"/>
        <v>0</v>
      </c>
      <c r="P270" s="4"/>
      <c r="Q270" s="38">
        <f t="shared" si="52"/>
        <v>7228.0600000000559</v>
      </c>
      <c r="R270" s="58"/>
      <c r="S270" s="6"/>
      <c r="T270" s="1"/>
      <c r="U270" s="23"/>
      <c r="W270" s="7"/>
    </row>
    <row r="271" spans="1:53" ht="18" x14ac:dyDescent="0.25">
      <c r="A271" s="36">
        <f t="shared" si="54"/>
        <v>46252</v>
      </c>
      <c r="B271" s="37" t="s">
        <v>17</v>
      </c>
      <c r="C271" s="38">
        <f t="shared" si="53"/>
        <v>7228.0600000000559</v>
      </c>
      <c r="D271" s="15">
        <v>553.5</v>
      </c>
      <c r="E271" s="15">
        <v>4738.5</v>
      </c>
      <c r="F271" s="15">
        <v>276</v>
      </c>
      <c r="G271" s="15">
        <v>432</v>
      </c>
      <c r="H271" s="15"/>
      <c r="I271" s="15"/>
      <c r="J271" s="15"/>
      <c r="K271" s="15"/>
      <c r="L271" s="38">
        <f t="shared" si="49"/>
        <v>6000</v>
      </c>
      <c r="M271" s="4"/>
      <c r="N271" s="38">
        <f t="shared" si="50"/>
        <v>5446.5</v>
      </c>
      <c r="O271" s="38">
        <f t="shared" si="51"/>
        <v>0</v>
      </c>
      <c r="P271" s="4"/>
      <c r="Q271" s="38">
        <f t="shared" si="52"/>
        <v>7781.5600000000559</v>
      </c>
      <c r="R271" s="58"/>
      <c r="S271" s="6"/>
      <c r="T271" s="1"/>
      <c r="U271" s="23"/>
      <c r="W271" s="7"/>
    </row>
    <row r="272" spans="1:53" ht="18" x14ac:dyDescent="0.25">
      <c r="A272" s="36">
        <f t="shared" si="54"/>
        <v>46253</v>
      </c>
      <c r="B272" s="37" t="s">
        <v>25</v>
      </c>
      <c r="C272" s="38">
        <f t="shared" si="53"/>
        <v>7781.5600000000559</v>
      </c>
      <c r="D272" s="15">
        <v>558</v>
      </c>
      <c r="E272" s="15">
        <v>4178.5</v>
      </c>
      <c r="F272" s="15">
        <v>363</v>
      </c>
      <c r="G272" s="15">
        <v>319</v>
      </c>
      <c r="H272" s="15"/>
      <c r="I272" s="15"/>
      <c r="J272" s="15"/>
      <c r="K272" s="15"/>
      <c r="L272" s="38">
        <f t="shared" si="49"/>
        <v>5418.5</v>
      </c>
      <c r="M272" s="4"/>
      <c r="N272" s="38">
        <f t="shared" si="50"/>
        <v>4860.5</v>
      </c>
      <c r="O272" s="38">
        <f t="shared" si="51"/>
        <v>0</v>
      </c>
      <c r="P272" s="4"/>
      <c r="Q272" s="38">
        <f t="shared" si="52"/>
        <v>8339.5600000000559</v>
      </c>
      <c r="R272" s="58"/>
      <c r="S272" s="6"/>
      <c r="T272" s="1"/>
      <c r="U272" s="23"/>
      <c r="W272" s="7"/>
    </row>
    <row r="273" spans="1:53" ht="18" x14ac:dyDescent="0.25">
      <c r="A273" s="36">
        <f t="shared" si="54"/>
        <v>46254</v>
      </c>
      <c r="B273" s="37" t="s">
        <v>19</v>
      </c>
      <c r="C273" s="38">
        <f t="shared" si="53"/>
        <v>8339.5600000000559</v>
      </c>
      <c r="D273" s="15">
        <v>414</v>
      </c>
      <c r="E273" s="15">
        <v>2662</v>
      </c>
      <c r="F273" s="15">
        <v>506</v>
      </c>
      <c r="G273" s="15">
        <v>108</v>
      </c>
      <c r="H273" s="15"/>
      <c r="I273" s="15"/>
      <c r="J273" s="15">
        <v>176</v>
      </c>
      <c r="K273" s="15"/>
      <c r="L273" s="38">
        <f t="shared" si="49"/>
        <v>3866</v>
      </c>
      <c r="M273" s="4">
        <v>6900</v>
      </c>
      <c r="N273" s="38">
        <f t="shared" si="50"/>
        <v>3276</v>
      </c>
      <c r="O273" s="38">
        <f t="shared" si="51"/>
        <v>176</v>
      </c>
      <c r="P273" s="4"/>
      <c r="Q273" s="38">
        <f t="shared" si="52"/>
        <v>1853.5600000000559</v>
      </c>
      <c r="R273" s="58"/>
      <c r="S273" s="6" t="s">
        <v>100</v>
      </c>
      <c r="T273" s="1"/>
      <c r="U273" s="23"/>
      <c r="W273" s="7"/>
    </row>
    <row r="274" spans="1:53" ht="18" x14ac:dyDescent="0.25">
      <c r="A274" s="36">
        <f t="shared" si="54"/>
        <v>46255</v>
      </c>
      <c r="B274" s="37" t="s">
        <v>26</v>
      </c>
      <c r="C274" s="38">
        <f t="shared" si="53"/>
        <v>1853.5600000000559</v>
      </c>
      <c r="D274" s="15">
        <v>2546</v>
      </c>
      <c r="E274" s="15">
        <v>5992</v>
      </c>
      <c r="F274" s="15">
        <v>887</v>
      </c>
      <c r="G274" s="15">
        <v>398</v>
      </c>
      <c r="H274" s="15"/>
      <c r="I274" s="15"/>
      <c r="J274" s="15"/>
      <c r="K274" s="15"/>
      <c r="L274" s="38">
        <f t="shared" si="49"/>
        <v>9823</v>
      </c>
      <c r="M274" s="4"/>
      <c r="N274" s="38">
        <f t="shared" si="50"/>
        <v>7277</v>
      </c>
      <c r="O274" s="38">
        <f t="shared" si="51"/>
        <v>0</v>
      </c>
      <c r="P274" s="4"/>
      <c r="Q274" s="38">
        <f t="shared" si="52"/>
        <v>4399.5600000000559</v>
      </c>
      <c r="R274" s="58"/>
      <c r="S274" s="6"/>
      <c r="T274" s="1"/>
      <c r="U274" s="23"/>
      <c r="W274" s="7"/>
    </row>
    <row r="275" spans="1:53" ht="18" x14ac:dyDescent="0.25">
      <c r="A275" s="36">
        <f t="shared" si="54"/>
        <v>46256</v>
      </c>
      <c r="B275" s="37" t="s">
        <v>21</v>
      </c>
      <c r="C275" s="38">
        <f t="shared" si="53"/>
        <v>4399.5600000000559</v>
      </c>
      <c r="D275" s="15">
        <v>-373</v>
      </c>
      <c r="E275" s="15">
        <v>5838</v>
      </c>
      <c r="F275" s="15">
        <v>1188</v>
      </c>
      <c r="G275" s="15">
        <v>129</v>
      </c>
      <c r="H275" s="15"/>
      <c r="I275" s="15"/>
      <c r="J275" s="15">
        <v>1454</v>
      </c>
      <c r="K275" s="15"/>
      <c r="L275" s="38">
        <f t="shared" si="49"/>
        <v>8236</v>
      </c>
      <c r="M275" s="4"/>
      <c r="N275" s="38">
        <f t="shared" si="50"/>
        <v>7155</v>
      </c>
      <c r="O275" s="38">
        <f t="shared" si="51"/>
        <v>1454</v>
      </c>
      <c r="P275" s="4"/>
      <c r="Q275" s="38">
        <f t="shared" si="52"/>
        <v>4026.5600000000559</v>
      </c>
      <c r="R275" s="58"/>
      <c r="S275" s="6"/>
      <c r="T275" s="1"/>
      <c r="U275" s="23"/>
      <c r="W275" s="7"/>
    </row>
    <row r="276" spans="1:53" ht="18" x14ac:dyDescent="0.25">
      <c r="A276" s="36">
        <f t="shared" si="54"/>
        <v>46257</v>
      </c>
      <c r="B276" s="37" t="s">
        <v>22</v>
      </c>
      <c r="C276" s="38">
        <f t="shared" si="53"/>
        <v>4026.5600000000559</v>
      </c>
      <c r="D276" s="15">
        <v>721</v>
      </c>
      <c r="E276" s="15">
        <v>3560</v>
      </c>
      <c r="F276" s="15">
        <v>378</v>
      </c>
      <c r="G276" s="15">
        <v>99</v>
      </c>
      <c r="H276" s="15"/>
      <c r="I276" s="15"/>
      <c r="J276" s="15"/>
      <c r="K276" s="15"/>
      <c r="L276" s="38">
        <f t="shared" si="49"/>
        <v>4758</v>
      </c>
      <c r="M276" s="4"/>
      <c r="N276" s="38">
        <f t="shared" si="50"/>
        <v>4037</v>
      </c>
      <c r="O276" s="38">
        <f t="shared" si="51"/>
        <v>0</v>
      </c>
      <c r="P276" s="4"/>
      <c r="Q276" s="38">
        <f t="shared" si="52"/>
        <v>4747.5600000000559</v>
      </c>
      <c r="R276" s="58"/>
      <c r="S276" s="6"/>
      <c r="T276" s="1"/>
      <c r="U276" s="23"/>
      <c r="W276" s="7"/>
    </row>
    <row r="277" spans="1:53" ht="18" x14ac:dyDescent="0.25">
      <c r="A277" s="36">
        <f t="shared" si="54"/>
        <v>46258</v>
      </c>
      <c r="B277" s="37" t="s">
        <v>16</v>
      </c>
      <c r="C277" s="38">
        <f t="shared" si="53"/>
        <v>4747.5600000000559</v>
      </c>
      <c r="D277" s="15">
        <v>1750</v>
      </c>
      <c r="E277" s="15">
        <v>6417</v>
      </c>
      <c r="F277" s="15">
        <v>911</v>
      </c>
      <c r="G277" s="15">
        <v>1309</v>
      </c>
      <c r="H277" s="15"/>
      <c r="I277" s="15"/>
      <c r="J277" s="15">
        <v>303</v>
      </c>
      <c r="K277" s="15"/>
      <c r="L277" s="38">
        <f t="shared" si="49"/>
        <v>10690</v>
      </c>
      <c r="M277" s="4"/>
      <c r="N277" s="38">
        <f t="shared" si="50"/>
        <v>8637</v>
      </c>
      <c r="O277" s="38">
        <f t="shared" si="51"/>
        <v>303</v>
      </c>
      <c r="P277" s="4"/>
      <c r="Q277" s="38">
        <f t="shared" si="52"/>
        <v>6497.5600000000559</v>
      </c>
      <c r="R277" s="58"/>
      <c r="S277" s="6"/>
      <c r="T277" s="1"/>
      <c r="U277" s="23"/>
      <c r="W277" s="7"/>
    </row>
    <row r="278" spans="1:53" ht="18" x14ac:dyDescent="0.25">
      <c r="A278" s="36">
        <f t="shared" si="54"/>
        <v>46259</v>
      </c>
      <c r="B278" s="37" t="s">
        <v>17</v>
      </c>
      <c r="C278" s="38">
        <f t="shared" si="53"/>
        <v>6497.5600000000559</v>
      </c>
      <c r="D278" s="15">
        <v>1490</v>
      </c>
      <c r="E278" s="15">
        <v>4349</v>
      </c>
      <c r="F278" s="15">
        <v>2820</v>
      </c>
      <c r="G278" s="15">
        <v>443</v>
      </c>
      <c r="H278" s="15"/>
      <c r="I278" s="15"/>
      <c r="J278" s="15">
        <v>190</v>
      </c>
      <c r="K278" s="15"/>
      <c r="L278" s="38">
        <f t="shared" si="49"/>
        <v>9292</v>
      </c>
      <c r="M278" s="4">
        <v>4900</v>
      </c>
      <c r="N278" s="38">
        <f t="shared" si="50"/>
        <v>7612</v>
      </c>
      <c r="O278" s="38">
        <f t="shared" si="51"/>
        <v>190</v>
      </c>
      <c r="P278" s="4"/>
      <c r="Q278" s="38">
        <f t="shared" si="52"/>
        <v>3087.5600000000559</v>
      </c>
      <c r="R278" s="58"/>
      <c r="S278" s="6" t="s">
        <v>101</v>
      </c>
      <c r="T278" s="1"/>
      <c r="U278" s="23"/>
      <c r="W278" s="7"/>
    </row>
    <row r="279" spans="1:53" ht="18" x14ac:dyDescent="0.25">
      <c r="A279" s="36">
        <f t="shared" si="54"/>
        <v>46260</v>
      </c>
      <c r="B279" s="37" t="s">
        <v>18</v>
      </c>
      <c r="C279" s="38">
        <f t="shared" si="53"/>
        <v>3087.5600000000559</v>
      </c>
      <c r="D279" s="15">
        <v>2409.5</v>
      </c>
      <c r="E279" s="15">
        <v>3274.5</v>
      </c>
      <c r="F279" s="15">
        <v>556</v>
      </c>
      <c r="G279" s="15"/>
      <c r="H279" s="15"/>
      <c r="I279" s="15"/>
      <c r="J279" s="15"/>
      <c r="K279" s="15"/>
      <c r="L279" s="38">
        <f t="shared" si="49"/>
        <v>6240</v>
      </c>
      <c r="M279" s="4"/>
      <c r="N279" s="38">
        <f t="shared" si="50"/>
        <v>3830.5</v>
      </c>
      <c r="O279" s="38">
        <f t="shared" si="51"/>
        <v>0</v>
      </c>
      <c r="P279" s="4">
        <v>671.5</v>
      </c>
      <c r="Q279" s="38">
        <f t="shared" si="52"/>
        <v>4825.5600000000559</v>
      </c>
      <c r="R279" s="58"/>
      <c r="S279" s="6" t="s">
        <v>102</v>
      </c>
      <c r="T279" s="1"/>
      <c r="U279" s="23"/>
      <c r="W279" s="7"/>
    </row>
    <row r="280" spans="1:53" ht="18" x14ac:dyDescent="0.25">
      <c r="A280" s="36">
        <f t="shared" si="54"/>
        <v>46261</v>
      </c>
      <c r="B280" s="37" t="s">
        <v>19</v>
      </c>
      <c r="C280" s="38">
        <f t="shared" si="53"/>
        <v>4825.5600000000559</v>
      </c>
      <c r="D280" s="15">
        <v>2629</v>
      </c>
      <c r="E280" s="15">
        <v>18679.5</v>
      </c>
      <c r="F280" s="15">
        <v>2826.5</v>
      </c>
      <c r="G280" s="15">
        <v>209</v>
      </c>
      <c r="H280" s="15"/>
      <c r="I280" s="15"/>
      <c r="J280" s="15">
        <v>969</v>
      </c>
      <c r="K280" s="15"/>
      <c r="L280" s="38">
        <f t="shared" si="49"/>
        <v>25313</v>
      </c>
      <c r="M280" s="4"/>
      <c r="N280" s="38">
        <f t="shared" si="50"/>
        <v>21715</v>
      </c>
      <c r="O280" s="38">
        <f t="shared" si="51"/>
        <v>969</v>
      </c>
      <c r="P280" s="4"/>
      <c r="Q280" s="38">
        <f t="shared" si="52"/>
        <v>7454.5600000000559</v>
      </c>
      <c r="R280" s="58"/>
      <c r="S280" s="6"/>
      <c r="T280" s="1"/>
      <c r="U280" s="23"/>
      <c r="W280" s="7"/>
    </row>
    <row r="281" spans="1:53" ht="18" x14ac:dyDescent="0.25">
      <c r="A281" s="36">
        <f t="shared" si="54"/>
        <v>46262</v>
      </c>
      <c r="B281" s="37" t="s">
        <v>26</v>
      </c>
      <c r="C281" s="38">
        <f t="shared" si="53"/>
        <v>7454.5600000000559</v>
      </c>
      <c r="D281" s="15">
        <v>1821</v>
      </c>
      <c r="E281" s="15">
        <v>23154</v>
      </c>
      <c r="F281" s="15">
        <v>3661</v>
      </c>
      <c r="G281" s="15">
        <v>1010</v>
      </c>
      <c r="H281" s="15"/>
      <c r="I281" s="15"/>
      <c r="J281" s="15">
        <v>250</v>
      </c>
      <c r="K281" s="15"/>
      <c r="L281" s="38">
        <f t="shared" si="49"/>
        <v>29896</v>
      </c>
      <c r="M281" s="4"/>
      <c r="N281" s="38">
        <f t="shared" si="50"/>
        <v>27825</v>
      </c>
      <c r="O281" s="38">
        <f t="shared" si="51"/>
        <v>250</v>
      </c>
      <c r="P281" s="4"/>
      <c r="Q281" s="38">
        <f t="shared" si="52"/>
        <v>9275.5600000000559</v>
      </c>
      <c r="R281" s="58"/>
      <c r="S281" s="6"/>
      <c r="T281" s="1"/>
      <c r="U281" s="23"/>
      <c r="W281" s="7"/>
    </row>
    <row r="282" spans="1:53" ht="18" x14ac:dyDescent="0.25">
      <c r="A282" s="36">
        <f t="shared" si="54"/>
        <v>46263</v>
      </c>
      <c r="B282" s="37" t="s">
        <v>21</v>
      </c>
      <c r="C282" s="38">
        <f t="shared" si="53"/>
        <v>9275.5600000000559</v>
      </c>
      <c r="D282" s="15">
        <v>2341</v>
      </c>
      <c r="E282" s="15">
        <v>30882</v>
      </c>
      <c r="F282" s="15">
        <v>1549.5</v>
      </c>
      <c r="G282" s="15">
        <v>1316</v>
      </c>
      <c r="H282" s="15"/>
      <c r="I282" s="15"/>
      <c r="J282" s="15">
        <v>1766.5</v>
      </c>
      <c r="K282" s="15">
        <v>0</v>
      </c>
      <c r="L282" s="38">
        <f t="shared" si="49"/>
        <v>37855</v>
      </c>
      <c r="M282" s="4"/>
      <c r="N282" s="38">
        <f t="shared" si="50"/>
        <v>33747.5</v>
      </c>
      <c r="O282" s="38">
        <f t="shared" si="51"/>
        <v>1766.5</v>
      </c>
      <c r="P282" s="4"/>
      <c r="Q282" s="38">
        <f t="shared" si="52"/>
        <v>11616.560000000056</v>
      </c>
      <c r="R282" s="58"/>
      <c r="S282" s="6"/>
      <c r="T282" s="1"/>
      <c r="U282" s="23"/>
      <c r="W282" s="7"/>
    </row>
    <row r="283" spans="1:53" ht="18" x14ac:dyDescent="0.25">
      <c r="A283" s="36">
        <f t="shared" si="54"/>
        <v>46264</v>
      </c>
      <c r="B283" s="37" t="s">
        <v>23</v>
      </c>
      <c r="C283" s="38">
        <f t="shared" si="53"/>
        <v>11616.560000000056</v>
      </c>
      <c r="D283" s="15">
        <v>541</v>
      </c>
      <c r="E283" s="15">
        <v>7038.5</v>
      </c>
      <c r="F283" s="15">
        <v>1003</v>
      </c>
      <c r="G283" s="15">
        <v>570</v>
      </c>
      <c r="H283" s="15"/>
      <c r="I283" s="15"/>
      <c r="J283" s="15">
        <v>140</v>
      </c>
      <c r="K283" s="15"/>
      <c r="L283" s="38">
        <f t="shared" si="49"/>
        <v>9292.5</v>
      </c>
      <c r="M283" s="4">
        <v>9300</v>
      </c>
      <c r="N283" s="38">
        <f t="shared" si="50"/>
        <v>8611.5</v>
      </c>
      <c r="O283" s="38">
        <f t="shared" si="51"/>
        <v>140</v>
      </c>
      <c r="P283" s="4"/>
      <c r="Q283" s="38">
        <f t="shared" si="52"/>
        <v>2857.5600000000559</v>
      </c>
      <c r="R283" s="58"/>
      <c r="S283" s="6" t="s">
        <v>103</v>
      </c>
      <c r="T283" s="1"/>
      <c r="U283" s="23"/>
      <c r="W283" s="7"/>
    </row>
    <row r="284" spans="1:53" ht="18.75" thickBot="1" x14ac:dyDescent="0.3">
      <c r="A284" s="49">
        <f t="shared" si="54"/>
        <v>46265</v>
      </c>
      <c r="B284" s="75" t="s">
        <v>24</v>
      </c>
      <c r="C284" s="40">
        <f t="shared" si="53"/>
        <v>2857.5600000000559</v>
      </c>
      <c r="D284" s="16">
        <v>-51</v>
      </c>
      <c r="E284" s="16">
        <v>4214</v>
      </c>
      <c r="F284" s="16">
        <v>159</v>
      </c>
      <c r="G284" s="16"/>
      <c r="H284" s="16"/>
      <c r="I284" s="16"/>
      <c r="J284" s="16">
        <v>210</v>
      </c>
      <c r="K284" s="16"/>
      <c r="L284" s="40">
        <f t="shared" si="49"/>
        <v>4532</v>
      </c>
      <c r="M284" s="11"/>
      <c r="N284" s="40">
        <f t="shared" si="50"/>
        <v>4373</v>
      </c>
      <c r="O284" s="40">
        <f t="shared" si="51"/>
        <v>210</v>
      </c>
      <c r="P284" s="11"/>
      <c r="Q284" s="40">
        <f t="shared" si="52"/>
        <v>2806.5600000000559</v>
      </c>
      <c r="R284" s="60"/>
      <c r="S284" s="12"/>
      <c r="T284" s="1"/>
      <c r="U284" s="23"/>
      <c r="V284" s="1"/>
      <c r="W284" s="7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ht="19.5" thickTop="1" thickBot="1" x14ac:dyDescent="0.3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1"/>
      <c r="U285" s="7"/>
    </row>
    <row r="286" spans="1:53" ht="19.5" thickTop="1" thickBot="1" x14ac:dyDescent="0.3">
      <c r="A286" s="84"/>
      <c r="B286" s="85"/>
      <c r="C286" s="86"/>
      <c r="D286" s="13">
        <f t="shared" ref="D286:P286" si="55">SUM(D254:D284)</f>
        <v>22711</v>
      </c>
      <c r="E286" s="13">
        <f t="shared" si="55"/>
        <v>187195.5</v>
      </c>
      <c r="F286" s="13">
        <f t="shared" si="55"/>
        <v>26249.5</v>
      </c>
      <c r="G286" s="13">
        <f t="shared" si="55"/>
        <v>8484</v>
      </c>
      <c r="H286" s="13">
        <f t="shared" si="55"/>
        <v>0</v>
      </c>
      <c r="I286" s="13">
        <f t="shared" si="55"/>
        <v>0</v>
      </c>
      <c r="J286" s="13">
        <f t="shared" si="55"/>
        <v>12775.5</v>
      </c>
      <c r="K286" s="13">
        <f t="shared" si="55"/>
        <v>0</v>
      </c>
      <c r="L286" s="38">
        <f t="shared" si="55"/>
        <v>257415.5</v>
      </c>
      <c r="M286" s="13">
        <f t="shared" si="55"/>
        <v>21100</v>
      </c>
      <c r="N286" s="38">
        <f t="shared" si="55"/>
        <v>221929</v>
      </c>
      <c r="O286" s="38">
        <f t="shared" si="55"/>
        <v>12775.5</v>
      </c>
      <c r="P286" s="13">
        <f t="shared" si="55"/>
        <v>671.5</v>
      </c>
      <c r="Q286" s="38">
        <f>C254+C286+L286+-M286-N286-O286-P286</f>
        <v>2806.5600000000559</v>
      </c>
      <c r="R286" s="63"/>
      <c r="S286" s="14"/>
      <c r="U286" s="7"/>
    </row>
    <row r="287" spans="1:53" ht="19.5" thickTop="1" thickBot="1" x14ac:dyDescent="0.3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1"/>
      <c r="U287" s="7"/>
    </row>
    <row r="288" spans="1:53" ht="20.25" customHeight="1" thickTop="1" thickBot="1" x14ac:dyDescent="0.3">
      <c r="A288" s="94" t="s">
        <v>0</v>
      </c>
      <c r="B288" s="96" t="s">
        <v>1</v>
      </c>
      <c r="C288" s="98" t="s">
        <v>2</v>
      </c>
      <c r="D288" s="80" t="s">
        <v>3</v>
      </c>
      <c r="E288" s="100" t="s">
        <v>4</v>
      </c>
      <c r="F288" s="101"/>
      <c r="G288" s="101"/>
      <c r="H288" s="101"/>
      <c r="I288" s="101"/>
      <c r="J288" s="101"/>
      <c r="K288" s="102"/>
      <c r="L288" s="80" t="s">
        <v>5</v>
      </c>
      <c r="M288" s="80" t="s">
        <v>6</v>
      </c>
      <c r="N288" s="80" t="s">
        <v>7</v>
      </c>
      <c r="O288" s="80" t="s">
        <v>8</v>
      </c>
      <c r="P288" s="80" t="s">
        <v>9</v>
      </c>
      <c r="Q288" s="82" t="s">
        <v>10</v>
      </c>
      <c r="R288" s="82" t="s">
        <v>34</v>
      </c>
      <c r="S288" s="82" t="s">
        <v>11</v>
      </c>
    </row>
    <row r="289" spans="1:53" ht="19.5" thickTop="1" thickBot="1" x14ac:dyDescent="0.3">
      <c r="A289" s="95"/>
      <c r="B289" s="97"/>
      <c r="C289" s="99"/>
      <c r="D289" s="81"/>
      <c r="E289" s="41" t="s">
        <v>12</v>
      </c>
      <c r="F289" s="42" t="s">
        <v>13</v>
      </c>
      <c r="G289" s="41" t="s">
        <v>14</v>
      </c>
      <c r="H289" s="41" t="s">
        <v>15</v>
      </c>
      <c r="I289" s="41" t="s">
        <v>45</v>
      </c>
      <c r="J289" s="42" t="s">
        <v>44</v>
      </c>
      <c r="K289" s="42" t="s">
        <v>46</v>
      </c>
      <c r="L289" s="81"/>
      <c r="M289" s="81"/>
      <c r="N289" s="81"/>
      <c r="O289" s="81"/>
      <c r="P289" s="81"/>
      <c r="Q289" s="83"/>
      <c r="R289" s="83"/>
      <c r="S289" s="83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ht="18.75" thickTop="1" x14ac:dyDescent="0.25">
      <c r="A290" s="36">
        <f>A284+1</f>
        <v>46266</v>
      </c>
      <c r="B290" s="37" t="s">
        <v>17</v>
      </c>
      <c r="C290" s="38">
        <f>SUM(Q284)</f>
        <v>2806.5600000000559</v>
      </c>
      <c r="D290" s="15">
        <v>1039</v>
      </c>
      <c r="E290" s="15">
        <v>4198</v>
      </c>
      <c r="F290" s="15">
        <v>599</v>
      </c>
      <c r="G290" s="15"/>
      <c r="H290" s="15"/>
      <c r="I290" s="15"/>
      <c r="J290" s="15"/>
      <c r="K290" s="15"/>
      <c r="L290" s="38">
        <f t="shared" ref="L290:L319" si="56">SUM(D290:K290)</f>
        <v>5836</v>
      </c>
      <c r="M290" s="4"/>
      <c r="N290" s="38">
        <f t="shared" ref="N290:N316" si="57">SUM(E290+F290+G290+H290)</f>
        <v>4797</v>
      </c>
      <c r="O290" s="38">
        <f t="shared" ref="O290:O317" si="58">I290+K290+J290</f>
        <v>0</v>
      </c>
      <c r="P290" s="4"/>
      <c r="Q290" s="38">
        <f t="shared" ref="Q290:Q319" si="59">C290+L290+-M290-N290-O290-P290</f>
        <v>3845.5600000000559</v>
      </c>
      <c r="R290" s="58"/>
      <c r="S290" s="6"/>
      <c r="T290" s="1"/>
      <c r="U290" s="23"/>
      <c r="W290" s="7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ht="18" x14ac:dyDescent="0.25">
      <c r="A291" s="36">
        <f>A290+1</f>
        <v>46267</v>
      </c>
      <c r="B291" s="37" t="s">
        <v>18</v>
      </c>
      <c r="C291" s="38">
        <f t="shared" ref="C291:C319" si="60">Q290</f>
        <v>3845.5600000000559</v>
      </c>
      <c r="D291" s="15">
        <v>-145</v>
      </c>
      <c r="E291" s="15">
        <v>2751</v>
      </c>
      <c r="F291" s="15">
        <v>317</v>
      </c>
      <c r="G291" s="15"/>
      <c r="H291" s="15"/>
      <c r="I291" s="15"/>
      <c r="J291" s="15"/>
      <c r="K291" s="15"/>
      <c r="L291" s="38">
        <f t="shared" si="56"/>
        <v>2923</v>
      </c>
      <c r="M291" s="4"/>
      <c r="N291" s="38">
        <f t="shared" si="57"/>
        <v>3068</v>
      </c>
      <c r="O291" s="38">
        <f t="shared" si="58"/>
        <v>0</v>
      </c>
      <c r="P291" s="4"/>
      <c r="Q291" s="38">
        <f t="shared" si="59"/>
        <v>3700.5600000000559</v>
      </c>
      <c r="R291" s="58"/>
      <c r="S291" s="6"/>
      <c r="T291" s="1"/>
      <c r="U291" s="23"/>
      <c r="W291" s="7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ht="18" x14ac:dyDescent="0.25">
      <c r="A292" s="36">
        <f t="shared" ref="A292:A319" si="61">A291+1</f>
        <v>46268</v>
      </c>
      <c r="B292" s="37" t="s">
        <v>19</v>
      </c>
      <c r="C292" s="38">
        <f t="shared" si="60"/>
        <v>3700.5600000000559</v>
      </c>
      <c r="D292" s="15">
        <v>173</v>
      </c>
      <c r="E292" s="15">
        <v>3542.5</v>
      </c>
      <c r="F292" s="15">
        <v>129</v>
      </c>
      <c r="G292" s="15">
        <v>267</v>
      </c>
      <c r="H292" s="15"/>
      <c r="I292" s="15"/>
      <c r="J292" s="15"/>
      <c r="K292" s="15"/>
      <c r="L292" s="38">
        <f t="shared" si="56"/>
        <v>4111.5</v>
      </c>
      <c r="M292" s="4"/>
      <c r="N292" s="38">
        <f t="shared" si="57"/>
        <v>3938.5</v>
      </c>
      <c r="O292" s="38">
        <f t="shared" si="58"/>
        <v>0</v>
      </c>
      <c r="P292" s="4"/>
      <c r="Q292" s="38">
        <f t="shared" si="59"/>
        <v>3873.5600000000559</v>
      </c>
      <c r="R292" s="58"/>
      <c r="S292" s="6"/>
      <c r="T292" s="1"/>
      <c r="U292" s="23"/>
      <c r="W292" s="7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ht="18" x14ac:dyDescent="0.25">
      <c r="A293" s="36">
        <f t="shared" si="61"/>
        <v>46269</v>
      </c>
      <c r="B293" s="37" t="s">
        <v>20</v>
      </c>
      <c r="C293" s="38">
        <f t="shared" si="60"/>
        <v>3873.5600000000559</v>
      </c>
      <c r="D293" s="15">
        <v>-17</v>
      </c>
      <c r="E293" s="15">
        <v>4844.5</v>
      </c>
      <c r="F293" s="15"/>
      <c r="G293" s="15"/>
      <c r="H293" s="15"/>
      <c r="I293" s="15"/>
      <c r="J293" s="15"/>
      <c r="K293" s="15"/>
      <c r="L293" s="38">
        <f t="shared" si="56"/>
        <v>4827.5</v>
      </c>
      <c r="M293" s="4"/>
      <c r="N293" s="38">
        <f t="shared" si="57"/>
        <v>4844.5</v>
      </c>
      <c r="O293" s="38">
        <f t="shared" si="58"/>
        <v>0</v>
      </c>
      <c r="P293" s="4"/>
      <c r="Q293" s="38">
        <f t="shared" si="59"/>
        <v>3856.5600000000559</v>
      </c>
      <c r="R293" s="58"/>
      <c r="S293" s="6"/>
      <c r="T293" s="1"/>
      <c r="U293" s="23"/>
      <c r="W293" s="7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ht="18" x14ac:dyDescent="0.25">
      <c r="A294" s="36">
        <f t="shared" si="61"/>
        <v>46270</v>
      </c>
      <c r="B294" s="37" t="s">
        <v>21</v>
      </c>
      <c r="C294" s="38">
        <f t="shared" si="60"/>
        <v>3856.5600000000559</v>
      </c>
      <c r="D294" s="15">
        <v>1483</v>
      </c>
      <c r="E294" s="15">
        <v>5010</v>
      </c>
      <c r="F294" s="15">
        <v>473</v>
      </c>
      <c r="G294" s="15"/>
      <c r="H294" s="15"/>
      <c r="I294" s="15"/>
      <c r="J294" s="15"/>
      <c r="K294" s="15"/>
      <c r="L294" s="38">
        <f t="shared" si="56"/>
        <v>6966</v>
      </c>
      <c r="M294" s="4"/>
      <c r="N294" s="38">
        <f t="shared" si="57"/>
        <v>5483</v>
      </c>
      <c r="O294" s="38">
        <f t="shared" si="58"/>
        <v>0</v>
      </c>
      <c r="P294" s="4"/>
      <c r="Q294" s="38">
        <f t="shared" si="59"/>
        <v>5339.5600000000559</v>
      </c>
      <c r="R294" s="58"/>
      <c r="S294" s="6"/>
      <c r="T294" s="1"/>
      <c r="U294" s="23"/>
      <c r="W294" s="7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ht="18" x14ac:dyDescent="0.25">
      <c r="A295" s="36">
        <f t="shared" si="61"/>
        <v>46271</v>
      </c>
      <c r="B295" s="37" t="s">
        <v>22</v>
      </c>
      <c r="C295" s="38">
        <f t="shared" si="60"/>
        <v>5339.5600000000559</v>
      </c>
      <c r="D295" s="15">
        <v>-550</v>
      </c>
      <c r="E295" s="15">
        <v>2203</v>
      </c>
      <c r="F295" s="15">
        <v>533</v>
      </c>
      <c r="G295" s="15"/>
      <c r="H295" s="15"/>
      <c r="I295" s="15"/>
      <c r="J295" s="15"/>
      <c r="K295" s="15"/>
      <c r="L295" s="38">
        <f t="shared" si="56"/>
        <v>2186</v>
      </c>
      <c r="M295" s="4"/>
      <c r="N295" s="38">
        <f t="shared" si="57"/>
        <v>2736</v>
      </c>
      <c r="O295" s="38">
        <f t="shared" si="58"/>
        <v>0</v>
      </c>
      <c r="P295" s="4"/>
      <c r="Q295" s="38">
        <f t="shared" si="59"/>
        <v>4789.5600000000559</v>
      </c>
      <c r="R295" s="58"/>
      <c r="S295" s="6"/>
      <c r="T295" s="1"/>
      <c r="U295" s="23"/>
      <c r="W295" s="7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ht="18" x14ac:dyDescent="0.25">
      <c r="A296" s="36">
        <f t="shared" si="61"/>
        <v>46272</v>
      </c>
      <c r="B296" s="37" t="s">
        <v>16</v>
      </c>
      <c r="C296" s="38">
        <f t="shared" si="60"/>
        <v>4789.5600000000559</v>
      </c>
      <c r="D296" s="15">
        <v>0</v>
      </c>
      <c r="E296" s="15">
        <v>2129</v>
      </c>
      <c r="F296" s="15">
        <v>189</v>
      </c>
      <c r="G296" s="15">
        <v>434</v>
      </c>
      <c r="H296" s="15"/>
      <c r="I296" s="15"/>
      <c r="J296" s="15"/>
      <c r="K296" s="15"/>
      <c r="L296" s="38">
        <f t="shared" si="56"/>
        <v>2752</v>
      </c>
      <c r="M296" s="4"/>
      <c r="N296" s="38">
        <f t="shared" si="57"/>
        <v>2752</v>
      </c>
      <c r="O296" s="38">
        <f t="shared" si="58"/>
        <v>0</v>
      </c>
      <c r="P296" s="4"/>
      <c r="Q296" s="38">
        <f t="shared" si="59"/>
        <v>4789.5600000000559</v>
      </c>
      <c r="R296" s="58"/>
      <c r="S296" s="6"/>
      <c r="T296" s="1"/>
      <c r="U296" s="23"/>
      <c r="W296" s="7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ht="18" x14ac:dyDescent="0.25">
      <c r="A297" s="36">
        <f t="shared" si="61"/>
        <v>46273</v>
      </c>
      <c r="B297" s="37" t="s">
        <v>17</v>
      </c>
      <c r="C297" s="38">
        <f t="shared" si="60"/>
        <v>4789.5600000000559</v>
      </c>
      <c r="D297" s="15"/>
      <c r="E297" s="15"/>
      <c r="F297" s="15"/>
      <c r="G297" s="15"/>
      <c r="H297" s="15"/>
      <c r="I297" s="15"/>
      <c r="J297" s="15"/>
      <c r="K297" s="15"/>
      <c r="L297" s="38">
        <f t="shared" si="56"/>
        <v>0</v>
      </c>
      <c r="M297" s="4"/>
      <c r="N297" s="38">
        <f t="shared" si="57"/>
        <v>0</v>
      </c>
      <c r="O297" s="38">
        <f t="shared" si="58"/>
        <v>0</v>
      </c>
      <c r="P297" s="4"/>
      <c r="Q297" s="38">
        <f t="shared" si="59"/>
        <v>4789.5600000000559</v>
      </c>
      <c r="R297" s="58"/>
      <c r="S297" s="6"/>
      <c r="T297" s="1"/>
      <c r="U297" s="23"/>
      <c r="W297" s="7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ht="18" x14ac:dyDescent="0.25">
      <c r="A298" s="36">
        <f t="shared" si="61"/>
        <v>46274</v>
      </c>
      <c r="B298" s="37" t="s">
        <v>18</v>
      </c>
      <c r="C298" s="38">
        <f t="shared" si="60"/>
        <v>4789.5600000000559</v>
      </c>
      <c r="D298" s="15">
        <v>200</v>
      </c>
      <c r="E298" s="15">
        <v>518</v>
      </c>
      <c r="F298" s="15"/>
      <c r="G298" s="15"/>
      <c r="H298" s="15"/>
      <c r="I298" s="15"/>
      <c r="J298" s="15"/>
      <c r="K298" s="15"/>
      <c r="L298" s="38">
        <f t="shared" si="56"/>
        <v>718</v>
      </c>
      <c r="M298" s="4"/>
      <c r="N298" s="38">
        <f t="shared" si="57"/>
        <v>518</v>
      </c>
      <c r="O298" s="38">
        <f t="shared" si="58"/>
        <v>0</v>
      </c>
      <c r="P298" s="4"/>
      <c r="Q298" s="38">
        <f t="shared" si="59"/>
        <v>4989.5600000000559</v>
      </c>
      <c r="R298" s="58"/>
      <c r="S298" s="6"/>
      <c r="T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ht="18" x14ac:dyDescent="0.25">
      <c r="A299" s="36">
        <f t="shared" si="61"/>
        <v>46275</v>
      </c>
      <c r="B299" s="37" t="s">
        <v>19</v>
      </c>
      <c r="C299" s="38">
        <f t="shared" si="60"/>
        <v>4989.5600000000559</v>
      </c>
      <c r="D299" s="15">
        <v>577</v>
      </c>
      <c r="E299" s="15">
        <v>1112</v>
      </c>
      <c r="F299" s="15">
        <v>1139</v>
      </c>
      <c r="G299" s="15">
        <v>291</v>
      </c>
      <c r="H299" s="15"/>
      <c r="I299" s="15"/>
      <c r="J299" s="15"/>
      <c r="K299" s="15"/>
      <c r="L299" s="38">
        <f t="shared" si="56"/>
        <v>3119</v>
      </c>
      <c r="M299" s="4"/>
      <c r="N299" s="38">
        <f t="shared" si="57"/>
        <v>2542</v>
      </c>
      <c r="O299" s="38">
        <f t="shared" si="58"/>
        <v>0</v>
      </c>
      <c r="P299" s="4"/>
      <c r="Q299" s="38">
        <f t="shared" si="59"/>
        <v>5566.5600000000559</v>
      </c>
      <c r="R299" s="58"/>
      <c r="S299" s="6"/>
      <c r="T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ht="18" x14ac:dyDescent="0.25">
      <c r="A300" s="36">
        <f t="shared" si="61"/>
        <v>46276</v>
      </c>
      <c r="B300" s="37" t="s">
        <v>20</v>
      </c>
      <c r="C300" s="38">
        <f t="shared" si="60"/>
        <v>5566.5600000000559</v>
      </c>
      <c r="D300" s="15"/>
      <c r="E300" s="15">
        <v>2010</v>
      </c>
      <c r="F300" s="15">
        <v>402</v>
      </c>
      <c r="G300" s="15">
        <v>402</v>
      </c>
      <c r="H300" s="15"/>
      <c r="I300" s="15"/>
      <c r="J300" s="15">
        <v>299</v>
      </c>
      <c r="K300" s="15"/>
      <c r="L300" s="38">
        <f t="shared" si="56"/>
        <v>3113</v>
      </c>
      <c r="M300" s="4"/>
      <c r="N300" s="38">
        <f t="shared" si="57"/>
        <v>2814</v>
      </c>
      <c r="O300" s="38">
        <f t="shared" si="58"/>
        <v>299</v>
      </c>
      <c r="P300" s="4"/>
      <c r="Q300" s="38">
        <f t="shared" si="59"/>
        <v>5566.5600000000559</v>
      </c>
      <c r="R300" s="58"/>
      <c r="S300" s="6"/>
      <c r="T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ht="18" x14ac:dyDescent="0.25">
      <c r="A301" s="36">
        <f t="shared" si="61"/>
        <v>46277</v>
      </c>
      <c r="B301" s="37" t="s">
        <v>21</v>
      </c>
      <c r="C301" s="38">
        <f t="shared" si="60"/>
        <v>5566.5600000000559</v>
      </c>
      <c r="D301" s="15">
        <v>275</v>
      </c>
      <c r="E301" s="15">
        <v>1735</v>
      </c>
      <c r="F301" s="15">
        <v>205</v>
      </c>
      <c r="G301" s="15"/>
      <c r="H301" s="15"/>
      <c r="I301" s="15"/>
      <c r="J301" s="15"/>
      <c r="K301" s="15"/>
      <c r="L301" s="38">
        <f t="shared" si="56"/>
        <v>2215</v>
      </c>
      <c r="M301" s="4"/>
      <c r="N301" s="38">
        <f t="shared" si="57"/>
        <v>1940</v>
      </c>
      <c r="O301" s="38">
        <f t="shared" si="58"/>
        <v>0</v>
      </c>
      <c r="P301" s="4"/>
      <c r="Q301" s="38">
        <f t="shared" si="59"/>
        <v>5841.5600000000559</v>
      </c>
      <c r="R301" s="58"/>
      <c r="S301" s="6"/>
      <c r="T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ht="18" x14ac:dyDescent="0.25">
      <c r="A302" s="36">
        <f t="shared" si="61"/>
        <v>46278</v>
      </c>
      <c r="B302" s="37" t="s">
        <v>22</v>
      </c>
      <c r="C302" s="38">
        <f t="shared" si="60"/>
        <v>5841.5600000000559</v>
      </c>
      <c r="D302" s="15">
        <v>723</v>
      </c>
      <c r="E302" s="15">
        <v>2200</v>
      </c>
      <c r="F302" s="15"/>
      <c r="G302" s="15">
        <v>245</v>
      </c>
      <c r="H302" s="15"/>
      <c r="I302" s="15"/>
      <c r="J302" s="15"/>
      <c r="K302" s="15"/>
      <c r="L302" s="38">
        <f t="shared" si="56"/>
        <v>3168</v>
      </c>
      <c r="M302" s="4"/>
      <c r="N302" s="38">
        <f t="shared" si="57"/>
        <v>2445</v>
      </c>
      <c r="O302" s="38">
        <f t="shared" si="58"/>
        <v>0</v>
      </c>
      <c r="P302" s="4"/>
      <c r="Q302" s="38">
        <f t="shared" si="59"/>
        <v>6564.5600000000559</v>
      </c>
      <c r="R302" s="58"/>
      <c r="S302" s="6"/>
      <c r="T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ht="18" x14ac:dyDescent="0.25">
      <c r="A303" s="36">
        <f t="shared" si="61"/>
        <v>46279</v>
      </c>
      <c r="B303" s="37" t="s">
        <v>16</v>
      </c>
      <c r="C303" s="38">
        <f t="shared" si="60"/>
        <v>6564.5600000000559</v>
      </c>
      <c r="D303" s="15">
        <v>865</v>
      </c>
      <c r="E303" s="15">
        <v>3767</v>
      </c>
      <c r="F303" s="15"/>
      <c r="G303" s="15"/>
      <c r="H303" s="15"/>
      <c r="I303" s="15"/>
      <c r="J303" s="15">
        <v>670</v>
      </c>
      <c r="K303" s="15"/>
      <c r="L303" s="38">
        <f t="shared" si="56"/>
        <v>5302</v>
      </c>
      <c r="M303" s="4"/>
      <c r="N303" s="38">
        <f t="shared" si="57"/>
        <v>3767</v>
      </c>
      <c r="O303" s="38">
        <f t="shared" si="58"/>
        <v>670</v>
      </c>
      <c r="P303" s="4"/>
      <c r="Q303" s="38">
        <f t="shared" si="59"/>
        <v>7429.5600000000559</v>
      </c>
      <c r="R303" s="58"/>
      <c r="S303" s="6"/>
      <c r="T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ht="18" x14ac:dyDescent="0.25">
      <c r="A304" s="36">
        <f t="shared" si="61"/>
        <v>46280</v>
      </c>
      <c r="B304" s="37" t="s">
        <v>17</v>
      </c>
      <c r="C304" s="38">
        <f t="shared" si="60"/>
        <v>7429.5600000000559</v>
      </c>
      <c r="D304" s="15">
        <v>298</v>
      </c>
      <c r="E304" s="15">
        <v>3431</v>
      </c>
      <c r="F304" s="15">
        <v>625</v>
      </c>
      <c r="G304" s="15">
        <v>167</v>
      </c>
      <c r="H304" s="15"/>
      <c r="I304" s="15"/>
      <c r="J304" s="15">
        <v>85</v>
      </c>
      <c r="K304" s="15"/>
      <c r="L304" s="38">
        <f t="shared" si="56"/>
        <v>4606</v>
      </c>
      <c r="M304" s="4"/>
      <c r="N304" s="38">
        <f t="shared" si="57"/>
        <v>4223</v>
      </c>
      <c r="O304" s="38">
        <f t="shared" si="58"/>
        <v>85</v>
      </c>
      <c r="P304" s="4"/>
      <c r="Q304" s="38">
        <f t="shared" si="59"/>
        <v>7727.5600000000559</v>
      </c>
      <c r="R304" s="58"/>
      <c r="S304" s="6"/>
      <c r="T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ht="18" x14ac:dyDescent="0.25">
      <c r="A305" s="36">
        <f t="shared" si="61"/>
        <v>46281</v>
      </c>
      <c r="B305" s="37" t="s">
        <v>18</v>
      </c>
      <c r="C305" s="38">
        <f t="shared" si="60"/>
        <v>7727.5600000000559</v>
      </c>
      <c r="D305" s="15">
        <v>498</v>
      </c>
      <c r="E305" s="15">
        <v>2812</v>
      </c>
      <c r="F305" s="15">
        <v>745</v>
      </c>
      <c r="G305" s="15"/>
      <c r="H305" s="15"/>
      <c r="I305" s="15"/>
      <c r="J305" s="15">
        <v>378</v>
      </c>
      <c r="K305" s="15"/>
      <c r="L305" s="38">
        <f t="shared" si="56"/>
        <v>4433</v>
      </c>
      <c r="M305" s="4"/>
      <c r="N305" s="38">
        <f t="shared" si="57"/>
        <v>3557</v>
      </c>
      <c r="O305" s="38">
        <f t="shared" si="58"/>
        <v>378</v>
      </c>
      <c r="P305" s="4"/>
      <c r="Q305" s="38">
        <f t="shared" si="59"/>
        <v>8225.5600000000559</v>
      </c>
      <c r="R305" s="58"/>
      <c r="S305" s="6"/>
      <c r="T305" s="1"/>
    </row>
    <row r="306" spans="1:53" ht="18" x14ac:dyDescent="0.25">
      <c r="A306" s="36">
        <f t="shared" si="61"/>
        <v>46282</v>
      </c>
      <c r="B306" s="37" t="s">
        <v>19</v>
      </c>
      <c r="C306" s="38">
        <f t="shared" si="60"/>
        <v>8225.5600000000559</v>
      </c>
      <c r="D306" s="15">
        <v>548</v>
      </c>
      <c r="E306" s="15">
        <v>2674</v>
      </c>
      <c r="F306" s="15">
        <v>59</v>
      </c>
      <c r="G306" s="15">
        <v>90</v>
      </c>
      <c r="H306" s="15"/>
      <c r="I306" s="15"/>
      <c r="J306" s="15">
        <v>250</v>
      </c>
      <c r="K306" s="15"/>
      <c r="L306" s="38">
        <f t="shared" si="56"/>
        <v>3621</v>
      </c>
      <c r="M306" s="4"/>
      <c r="N306" s="38">
        <f t="shared" si="57"/>
        <v>2823</v>
      </c>
      <c r="O306" s="38">
        <f t="shared" si="58"/>
        <v>250</v>
      </c>
      <c r="P306" s="4"/>
      <c r="Q306" s="38">
        <f t="shared" si="59"/>
        <v>8773.5600000000559</v>
      </c>
      <c r="R306" s="58"/>
      <c r="S306" s="6"/>
      <c r="T306" s="1"/>
    </row>
    <row r="307" spans="1:53" ht="18" x14ac:dyDescent="0.25">
      <c r="A307" s="36">
        <f t="shared" si="61"/>
        <v>46283</v>
      </c>
      <c r="B307" s="37" t="s">
        <v>26</v>
      </c>
      <c r="C307" s="38">
        <f t="shared" si="60"/>
        <v>8773.5600000000559</v>
      </c>
      <c r="D307" s="15">
        <v>484</v>
      </c>
      <c r="E307" s="15">
        <v>4321</v>
      </c>
      <c r="F307" s="15">
        <v>2506</v>
      </c>
      <c r="G307" s="15">
        <v>99</v>
      </c>
      <c r="H307" s="15"/>
      <c r="I307" s="15"/>
      <c r="J307" s="15"/>
      <c r="K307" s="15"/>
      <c r="L307" s="38">
        <f t="shared" si="56"/>
        <v>7410</v>
      </c>
      <c r="M307" s="4"/>
      <c r="N307" s="38">
        <f t="shared" si="57"/>
        <v>6926</v>
      </c>
      <c r="O307" s="38">
        <f t="shared" si="58"/>
        <v>0</v>
      </c>
      <c r="P307" s="4"/>
      <c r="Q307" s="38">
        <f t="shared" si="59"/>
        <v>9257.5600000000559</v>
      </c>
      <c r="R307" s="58"/>
      <c r="S307" s="6"/>
      <c r="T307" s="1"/>
    </row>
    <row r="308" spans="1:53" ht="18" x14ac:dyDescent="0.25">
      <c r="A308" s="36">
        <f t="shared" si="61"/>
        <v>46284</v>
      </c>
      <c r="B308" s="37" t="s">
        <v>21</v>
      </c>
      <c r="C308" s="38">
        <f t="shared" si="60"/>
        <v>9257.5600000000559</v>
      </c>
      <c r="D308" s="15">
        <v>1309</v>
      </c>
      <c r="E308" s="15">
        <v>5682</v>
      </c>
      <c r="F308" s="15">
        <v>165</v>
      </c>
      <c r="G308" s="15">
        <v>562</v>
      </c>
      <c r="H308" s="15"/>
      <c r="I308" s="15"/>
      <c r="J308" s="15"/>
      <c r="K308" s="15"/>
      <c r="L308" s="38">
        <f t="shared" si="56"/>
        <v>7718</v>
      </c>
      <c r="M308" s="4"/>
      <c r="N308" s="38">
        <f t="shared" si="57"/>
        <v>6409</v>
      </c>
      <c r="O308" s="38">
        <f t="shared" si="58"/>
        <v>0</v>
      </c>
      <c r="P308" s="4"/>
      <c r="Q308" s="38">
        <f t="shared" si="59"/>
        <v>10566.560000000056</v>
      </c>
      <c r="R308" s="58"/>
      <c r="S308" s="6"/>
      <c r="T308" s="1"/>
    </row>
    <row r="309" spans="1:53" ht="18" x14ac:dyDescent="0.25">
      <c r="A309" s="36">
        <f t="shared" si="61"/>
        <v>46285</v>
      </c>
      <c r="B309" s="37" t="s">
        <v>23</v>
      </c>
      <c r="C309" s="38">
        <f t="shared" si="60"/>
        <v>10566.560000000056</v>
      </c>
      <c r="D309" s="15">
        <v>321</v>
      </c>
      <c r="E309" s="15">
        <v>4133</v>
      </c>
      <c r="F309" s="15">
        <v>109</v>
      </c>
      <c r="G309" s="15"/>
      <c r="H309" s="15"/>
      <c r="I309" s="15"/>
      <c r="J309" s="15"/>
      <c r="K309" s="15"/>
      <c r="L309" s="38">
        <f t="shared" si="56"/>
        <v>4563</v>
      </c>
      <c r="M309" s="4"/>
      <c r="N309" s="38">
        <f t="shared" si="57"/>
        <v>4242</v>
      </c>
      <c r="O309" s="38">
        <f t="shared" si="58"/>
        <v>0</v>
      </c>
      <c r="P309" s="4"/>
      <c r="Q309" s="38">
        <f t="shared" si="59"/>
        <v>10887.560000000056</v>
      </c>
      <c r="R309" s="58"/>
      <c r="S309" s="6"/>
      <c r="T309" s="1"/>
    </row>
    <row r="310" spans="1:53" ht="18" x14ac:dyDescent="0.25">
      <c r="A310" s="36">
        <f t="shared" si="61"/>
        <v>46286</v>
      </c>
      <c r="B310" s="37" t="s">
        <v>24</v>
      </c>
      <c r="C310" s="38">
        <f t="shared" si="60"/>
        <v>10887.560000000056</v>
      </c>
      <c r="D310" s="15">
        <v>1192</v>
      </c>
      <c r="E310" s="15">
        <v>1238</v>
      </c>
      <c r="F310" s="15">
        <v>139</v>
      </c>
      <c r="G310" s="15"/>
      <c r="H310" s="15"/>
      <c r="I310" s="15"/>
      <c r="J310" s="15"/>
      <c r="K310" s="15"/>
      <c r="L310" s="38">
        <f t="shared" si="56"/>
        <v>2569</v>
      </c>
      <c r="M310" s="4"/>
      <c r="N310" s="38">
        <f t="shared" si="57"/>
        <v>1377</v>
      </c>
      <c r="O310" s="38">
        <f>I310+K310+J310</f>
        <v>0</v>
      </c>
      <c r="P310" s="4"/>
      <c r="Q310" s="38">
        <f t="shared" si="59"/>
        <v>12079.560000000056</v>
      </c>
      <c r="R310" s="58"/>
      <c r="S310" s="6"/>
      <c r="T310" s="1"/>
    </row>
    <row r="311" spans="1:53" ht="18" x14ac:dyDescent="0.25">
      <c r="A311" s="36">
        <f t="shared" si="61"/>
        <v>46287</v>
      </c>
      <c r="B311" s="37" t="s">
        <v>17</v>
      </c>
      <c r="C311" s="38">
        <f t="shared" si="60"/>
        <v>12079.560000000056</v>
      </c>
      <c r="D311" s="15">
        <v>1050</v>
      </c>
      <c r="E311" s="15">
        <v>3593</v>
      </c>
      <c r="F311" s="15">
        <v>377</v>
      </c>
      <c r="G311" s="15"/>
      <c r="H311" s="15"/>
      <c r="I311" s="15"/>
      <c r="J311" s="15"/>
      <c r="K311" s="15"/>
      <c r="L311" s="38">
        <f t="shared" si="56"/>
        <v>5020</v>
      </c>
      <c r="M311" s="4">
        <v>5000</v>
      </c>
      <c r="N311" s="38">
        <f t="shared" si="57"/>
        <v>3970</v>
      </c>
      <c r="O311" s="38">
        <f t="shared" si="58"/>
        <v>0</v>
      </c>
      <c r="P311" s="4"/>
      <c r="Q311" s="38">
        <f t="shared" si="59"/>
        <v>8129.5600000000559</v>
      </c>
      <c r="R311" s="58"/>
      <c r="S311" s="6" t="s">
        <v>104</v>
      </c>
      <c r="T311" s="1"/>
    </row>
    <row r="312" spans="1:53" ht="18" x14ac:dyDescent="0.25">
      <c r="A312" s="36">
        <f t="shared" si="61"/>
        <v>46288</v>
      </c>
      <c r="B312" s="37" t="s">
        <v>18</v>
      </c>
      <c r="C312" s="38">
        <f t="shared" si="60"/>
        <v>8129.5600000000559</v>
      </c>
      <c r="D312" s="15"/>
      <c r="E312" s="15"/>
      <c r="F312" s="15"/>
      <c r="G312" s="15"/>
      <c r="H312" s="15"/>
      <c r="I312" s="15"/>
      <c r="J312" s="15"/>
      <c r="K312" s="15"/>
      <c r="L312" s="38">
        <f t="shared" si="56"/>
        <v>0</v>
      </c>
      <c r="M312" s="4"/>
      <c r="N312" s="38">
        <f t="shared" si="57"/>
        <v>0</v>
      </c>
      <c r="O312" s="38">
        <f t="shared" si="58"/>
        <v>0</v>
      </c>
      <c r="P312" s="4"/>
      <c r="Q312" s="38">
        <f t="shared" si="59"/>
        <v>8129.5600000000559</v>
      </c>
      <c r="R312" s="58"/>
      <c r="S312" s="6"/>
      <c r="T312" s="1"/>
    </row>
    <row r="313" spans="1:53" ht="18" x14ac:dyDescent="0.25">
      <c r="A313" s="36">
        <f t="shared" si="61"/>
        <v>46289</v>
      </c>
      <c r="B313" s="37" t="s">
        <v>19</v>
      </c>
      <c r="C313" s="38">
        <f t="shared" si="60"/>
        <v>8129.5600000000559</v>
      </c>
      <c r="D313" s="15"/>
      <c r="E313" s="15"/>
      <c r="F313" s="15"/>
      <c r="G313" s="15"/>
      <c r="H313" s="15"/>
      <c r="I313" s="15"/>
      <c r="J313" s="15"/>
      <c r="K313" s="15"/>
      <c r="L313" s="38">
        <f t="shared" si="56"/>
        <v>0</v>
      </c>
      <c r="M313" s="4"/>
      <c r="N313" s="38">
        <f t="shared" si="57"/>
        <v>0</v>
      </c>
      <c r="O313" s="38">
        <f t="shared" si="58"/>
        <v>0</v>
      </c>
      <c r="P313" s="4"/>
      <c r="Q313" s="38">
        <f>C313+L313+-M313-N313-O313-P313</f>
        <v>8129.5600000000559</v>
      </c>
      <c r="R313" s="58"/>
      <c r="S313" s="6"/>
      <c r="T313" s="1"/>
    </row>
    <row r="314" spans="1:53" ht="18" x14ac:dyDescent="0.25">
      <c r="A314" s="36">
        <f t="shared" si="61"/>
        <v>46290</v>
      </c>
      <c r="B314" s="37" t="s">
        <v>26</v>
      </c>
      <c r="C314" s="38">
        <f t="shared" si="60"/>
        <v>8129.5600000000559</v>
      </c>
      <c r="D314" s="15"/>
      <c r="E314" s="15"/>
      <c r="F314" s="15"/>
      <c r="G314" s="15"/>
      <c r="H314" s="15"/>
      <c r="I314" s="15"/>
      <c r="J314" s="15"/>
      <c r="K314" s="15"/>
      <c r="L314" s="38">
        <f t="shared" si="56"/>
        <v>0</v>
      </c>
      <c r="M314" s="4"/>
      <c r="N314" s="38">
        <f t="shared" si="57"/>
        <v>0</v>
      </c>
      <c r="O314" s="38">
        <f t="shared" si="58"/>
        <v>0</v>
      </c>
      <c r="P314" s="4"/>
      <c r="Q314" s="38">
        <f t="shared" si="59"/>
        <v>8129.5600000000559</v>
      </c>
      <c r="R314" s="58"/>
      <c r="S314" s="6"/>
      <c r="T314" s="1"/>
    </row>
    <row r="315" spans="1:53" ht="18" x14ac:dyDescent="0.25">
      <c r="A315" s="36">
        <f t="shared" si="61"/>
        <v>46291</v>
      </c>
      <c r="B315" s="37" t="s">
        <v>21</v>
      </c>
      <c r="C315" s="38">
        <f t="shared" si="60"/>
        <v>8129.5600000000559</v>
      </c>
      <c r="D315" s="15"/>
      <c r="E315" s="15"/>
      <c r="F315" s="15"/>
      <c r="G315" s="15"/>
      <c r="H315" s="15"/>
      <c r="I315" s="15"/>
      <c r="J315" s="15"/>
      <c r="K315" s="15"/>
      <c r="L315" s="38">
        <f t="shared" si="56"/>
        <v>0</v>
      </c>
      <c r="M315" s="4"/>
      <c r="N315" s="38">
        <f t="shared" si="57"/>
        <v>0</v>
      </c>
      <c r="O315" s="38">
        <f t="shared" si="58"/>
        <v>0</v>
      </c>
      <c r="P315" s="4"/>
      <c r="Q315" s="38">
        <f t="shared" si="59"/>
        <v>8129.5600000000559</v>
      </c>
      <c r="R315" s="58"/>
      <c r="S315" s="6"/>
      <c r="T315" s="1"/>
    </row>
    <row r="316" spans="1:53" ht="18" x14ac:dyDescent="0.25">
      <c r="A316" s="36">
        <f t="shared" si="61"/>
        <v>46292</v>
      </c>
      <c r="B316" s="37" t="s">
        <v>23</v>
      </c>
      <c r="C316" s="38">
        <f t="shared" si="60"/>
        <v>8129.5600000000559</v>
      </c>
      <c r="D316" s="15"/>
      <c r="E316" s="15"/>
      <c r="F316" s="15"/>
      <c r="G316" s="15"/>
      <c r="H316" s="15"/>
      <c r="I316" s="15"/>
      <c r="J316" s="15"/>
      <c r="K316" s="15"/>
      <c r="L316" s="38">
        <f t="shared" si="56"/>
        <v>0</v>
      </c>
      <c r="M316" s="4"/>
      <c r="N316" s="38">
        <f t="shared" si="57"/>
        <v>0</v>
      </c>
      <c r="O316" s="38">
        <f t="shared" si="58"/>
        <v>0</v>
      </c>
      <c r="P316" s="4"/>
      <c r="Q316" s="38">
        <f t="shared" si="59"/>
        <v>8129.5600000000559</v>
      </c>
      <c r="R316" s="58"/>
      <c r="S316" s="6"/>
      <c r="T316" s="1"/>
    </row>
    <row r="317" spans="1:53" ht="18" x14ac:dyDescent="0.25">
      <c r="A317" s="36">
        <f t="shared" si="61"/>
        <v>46293</v>
      </c>
      <c r="B317" s="37" t="s">
        <v>24</v>
      </c>
      <c r="C317" s="38">
        <f t="shared" si="60"/>
        <v>8129.5600000000559</v>
      </c>
      <c r="D317" s="15"/>
      <c r="E317" s="15"/>
      <c r="F317" s="15"/>
      <c r="G317" s="15"/>
      <c r="H317" s="15"/>
      <c r="I317" s="15"/>
      <c r="J317" s="15"/>
      <c r="K317" s="15"/>
      <c r="L317" s="38">
        <f t="shared" si="56"/>
        <v>0</v>
      </c>
      <c r="M317" s="4"/>
      <c r="N317" s="38">
        <f>SUM(E317+F317+G317+H317)</f>
        <v>0</v>
      </c>
      <c r="O317" s="38">
        <f t="shared" si="58"/>
        <v>0</v>
      </c>
      <c r="P317" s="4"/>
      <c r="Q317" s="38">
        <f t="shared" si="59"/>
        <v>8129.5600000000559</v>
      </c>
      <c r="R317" s="58"/>
      <c r="S317" s="6"/>
      <c r="T317" s="1"/>
    </row>
    <row r="318" spans="1:53" ht="18" x14ac:dyDescent="0.25">
      <c r="A318" s="36">
        <f t="shared" si="61"/>
        <v>46294</v>
      </c>
      <c r="B318" s="37" t="s">
        <v>17</v>
      </c>
      <c r="C318" s="38">
        <f t="shared" si="60"/>
        <v>8129.5600000000559</v>
      </c>
      <c r="D318" s="15"/>
      <c r="E318" s="15"/>
      <c r="F318" s="15"/>
      <c r="G318" s="15"/>
      <c r="H318" s="15"/>
      <c r="I318" s="15"/>
      <c r="J318" s="15"/>
      <c r="K318" s="15"/>
      <c r="L318" s="38">
        <f t="shared" si="56"/>
        <v>0</v>
      </c>
      <c r="M318" s="4"/>
      <c r="N318" s="38">
        <f>SUM(E318+F318+G318+H318)</f>
        <v>0</v>
      </c>
      <c r="O318" s="38">
        <f>I318+K318+J318</f>
        <v>0</v>
      </c>
      <c r="P318" s="4"/>
      <c r="Q318" s="38">
        <f t="shared" si="59"/>
        <v>8129.5600000000559</v>
      </c>
      <c r="R318" s="58"/>
      <c r="S318" s="6"/>
      <c r="T318" s="1"/>
    </row>
    <row r="319" spans="1:53" ht="18.75" thickBot="1" x14ac:dyDescent="0.3">
      <c r="A319" s="49">
        <f t="shared" si="61"/>
        <v>46295</v>
      </c>
      <c r="B319" s="75" t="s">
        <v>25</v>
      </c>
      <c r="C319" s="40">
        <f t="shared" si="60"/>
        <v>8129.5600000000559</v>
      </c>
      <c r="D319" s="16"/>
      <c r="E319" s="16"/>
      <c r="F319" s="16"/>
      <c r="G319" s="16"/>
      <c r="H319" s="16"/>
      <c r="I319" s="16"/>
      <c r="J319" s="16"/>
      <c r="K319" s="16"/>
      <c r="L319" s="40">
        <f t="shared" si="56"/>
        <v>0</v>
      </c>
      <c r="M319" s="11"/>
      <c r="N319" s="40">
        <f>SUM(E319+F319+G319+H319)</f>
        <v>0</v>
      </c>
      <c r="O319" s="40">
        <f>I319+K319+J319</f>
        <v>0</v>
      </c>
      <c r="P319" s="11"/>
      <c r="Q319" s="40">
        <f t="shared" si="59"/>
        <v>8129.5600000000559</v>
      </c>
      <c r="R319" s="60"/>
      <c r="S319" s="12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ht="19.5" thickTop="1" thickBot="1" x14ac:dyDescent="0.3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1"/>
      <c r="U320" s="7"/>
    </row>
    <row r="321" spans="1:53" ht="19.5" thickTop="1" thickBot="1" x14ac:dyDescent="0.3">
      <c r="A321" s="84"/>
      <c r="B321" s="85"/>
      <c r="C321" s="86"/>
      <c r="D321" s="13">
        <f t="shared" ref="D321:P321" si="62">SUM(D289:D319)</f>
        <v>10323</v>
      </c>
      <c r="E321" s="13">
        <f t="shared" si="62"/>
        <v>63904</v>
      </c>
      <c r="F321" s="13">
        <f t="shared" si="62"/>
        <v>8711</v>
      </c>
      <c r="G321" s="13">
        <f t="shared" si="62"/>
        <v>2557</v>
      </c>
      <c r="H321" s="13">
        <f>SUM(H289:H319)</f>
        <v>0</v>
      </c>
      <c r="I321" s="13">
        <f>SUM(I289:I319)</f>
        <v>0</v>
      </c>
      <c r="J321" s="13">
        <f t="shared" si="62"/>
        <v>1682</v>
      </c>
      <c r="K321" s="13">
        <f t="shared" si="62"/>
        <v>0</v>
      </c>
      <c r="L321" s="38">
        <f t="shared" si="62"/>
        <v>87177</v>
      </c>
      <c r="M321" s="13">
        <f t="shared" si="62"/>
        <v>5000</v>
      </c>
      <c r="N321" s="38">
        <f t="shared" si="62"/>
        <v>75172</v>
      </c>
      <c r="O321" s="38">
        <f t="shared" si="62"/>
        <v>1682</v>
      </c>
      <c r="P321" s="13">
        <f t="shared" si="62"/>
        <v>0</v>
      </c>
      <c r="Q321" s="38">
        <f>C290+C321+L321+-M321-N321-O321-P321</f>
        <v>8129.5600000000559</v>
      </c>
      <c r="R321" s="63"/>
      <c r="S321" s="14"/>
      <c r="U321" s="7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ht="19.5" thickTop="1" thickBot="1" x14ac:dyDescent="0.3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1"/>
      <c r="U322" s="7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ht="20.25" customHeight="1" thickTop="1" thickBot="1" x14ac:dyDescent="0.3">
      <c r="A323" s="94" t="s">
        <v>0</v>
      </c>
      <c r="B323" s="96" t="s">
        <v>1</v>
      </c>
      <c r="C323" s="98" t="s">
        <v>2</v>
      </c>
      <c r="D323" s="80" t="s">
        <v>3</v>
      </c>
      <c r="E323" s="100" t="s">
        <v>4</v>
      </c>
      <c r="F323" s="101"/>
      <c r="G323" s="101"/>
      <c r="H323" s="101"/>
      <c r="I323" s="101"/>
      <c r="J323" s="101"/>
      <c r="K323" s="102"/>
      <c r="L323" s="80" t="s">
        <v>5</v>
      </c>
      <c r="M323" s="80" t="s">
        <v>6</v>
      </c>
      <c r="N323" s="80" t="s">
        <v>7</v>
      </c>
      <c r="O323" s="80" t="s">
        <v>8</v>
      </c>
      <c r="P323" s="80" t="s">
        <v>9</v>
      </c>
      <c r="Q323" s="82" t="s">
        <v>10</v>
      </c>
      <c r="R323" s="82" t="s">
        <v>34</v>
      </c>
      <c r="S323" s="82" t="s">
        <v>11</v>
      </c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ht="19.5" thickTop="1" thickBot="1" x14ac:dyDescent="0.3">
      <c r="A324" s="95"/>
      <c r="B324" s="97"/>
      <c r="C324" s="99"/>
      <c r="D324" s="81"/>
      <c r="E324" s="41" t="s">
        <v>12</v>
      </c>
      <c r="F324" s="42" t="s">
        <v>13</v>
      </c>
      <c r="G324" s="41" t="s">
        <v>14</v>
      </c>
      <c r="H324" s="41" t="s">
        <v>15</v>
      </c>
      <c r="I324" s="41" t="s">
        <v>45</v>
      </c>
      <c r="J324" s="42" t="s">
        <v>44</v>
      </c>
      <c r="K324" s="42" t="s">
        <v>46</v>
      </c>
      <c r="L324" s="81"/>
      <c r="M324" s="81"/>
      <c r="N324" s="81"/>
      <c r="O324" s="81"/>
      <c r="P324" s="81"/>
      <c r="Q324" s="83"/>
      <c r="R324" s="83"/>
      <c r="S324" s="83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ht="18.75" thickTop="1" x14ac:dyDescent="0.25">
      <c r="A325" s="36">
        <f>A319+1</f>
        <v>46296</v>
      </c>
      <c r="B325" s="37" t="s">
        <v>19</v>
      </c>
      <c r="C325" s="38">
        <f>SUM(Q319)</f>
        <v>8129.5600000000559</v>
      </c>
      <c r="D325" s="24"/>
      <c r="E325" s="24"/>
      <c r="F325" s="24"/>
      <c r="G325" s="24"/>
      <c r="H325" s="15"/>
      <c r="I325" s="15"/>
      <c r="J325" s="15"/>
      <c r="K325" s="15"/>
      <c r="L325" s="38">
        <f t="shared" ref="L325:L355" si="63">SUM(D325:K325)</f>
        <v>0</v>
      </c>
      <c r="M325" s="4"/>
      <c r="N325" s="38">
        <f t="shared" ref="N325:N355" si="64">SUM(E325+F325+G325+H325)</f>
        <v>0</v>
      </c>
      <c r="O325" s="38">
        <f t="shared" ref="O325:O355" si="65">I325+K325+J325</f>
        <v>0</v>
      </c>
      <c r="P325" s="5"/>
      <c r="Q325" s="38">
        <f t="shared" ref="Q325:Q355" si="66">C325+L325+-M325-N325-O325-P325</f>
        <v>8129.5600000000559</v>
      </c>
      <c r="R325" s="58"/>
      <c r="S325" s="6"/>
      <c r="T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ht="18" x14ac:dyDescent="0.25">
      <c r="A326" s="36">
        <f>A325+1</f>
        <v>46297</v>
      </c>
      <c r="B326" s="37" t="s">
        <v>20</v>
      </c>
      <c r="C326" s="38">
        <f t="shared" ref="C326:C355" si="67">Q325</f>
        <v>8129.5600000000559</v>
      </c>
      <c r="D326" s="24"/>
      <c r="E326" s="24"/>
      <c r="F326" s="24"/>
      <c r="G326" s="24"/>
      <c r="H326" s="15"/>
      <c r="I326" s="15"/>
      <c r="J326" s="15"/>
      <c r="K326" s="15"/>
      <c r="L326" s="38">
        <f t="shared" si="63"/>
        <v>0</v>
      </c>
      <c r="M326" s="4"/>
      <c r="N326" s="38">
        <f t="shared" si="64"/>
        <v>0</v>
      </c>
      <c r="O326" s="38">
        <f t="shared" si="65"/>
        <v>0</v>
      </c>
      <c r="P326" s="5"/>
      <c r="Q326" s="38">
        <f t="shared" si="66"/>
        <v>8129.5600000000559</v>
      </c>
      <c r="R326" s="58"/>
      <c r="S326" s="6"/>
      <c r="T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ht="18" x14ac:dyDescent="0.25">
      <c r="A327" s="36">
        <f t="shared" ref="A327:A355" si="68">A326+1</f>
        <v>46298</v>
      </c>
      <c r="B327" s="37" t="s">
        <v>21</v>
      </c>
      <c r="C327" s="38">
        <f t="shared" si="67"/>
        <v>8129.5600000000559</v>
      </c>
      <c r="D327" s="24"/>
      <c r="E327" s="24"/>
      <c r="F327" s="24"/>
      <c r="G327" s="24"/>
      <c r="H327" s="15"/>
      <c r="I327" s="15"/>
      <c r="J327" s="15"/>
      <c r="K327" s="15"/>
      <c r="L327" s="38">
        <f t="shared" si="63"/>
        <v>0</v>
      </c>
      <c r="M327" s="4"/>
      <c r="N327" s="38">
        <f t="shared" si="64"/>
        <v>0</v>
      </c>
      <c r="O327" s="38">
        <f t="shared" si="65"/>
        <v>0</v>
      </c>
      <c r="P327" s="5"/>
      <c r="Q327" s="38">
        <f t="shared" si="66"/>
        <v>8129.5600000000559</v>
      </c>
      <c r="R327" s="58"/>
      <c r="S327" s="6"/>
      <c r="T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ht="18" x14ac:dyDescent="0.25">
      <c r="A328" s="36">
        <f t="shared" si="68"/>
        <v>46299</v>
      </c>
      <c r="B328" s="37" t="s">
        <v>22</v>
      </c>
      <c r="C328" s="38">
        <f t="shared" si="67"/>
        <v>8129.5600000000559</v>
      </c>
      <c r="D328" s="24"/>
      <c r="E328" s="24"/>
      <c r="F328" s="24"/>
      <c r="G328" s="24"/>
      <c r="H328" s="15"/>
      <c r="I328" s="15"/>
      <c r="J328" s="15"/>
      <c r="K328" s="15"/>
      <c r="L328" s="38">
        <f t="shared" si="63"/>
        <v>0</v>
      </c>
      <c r="M328" s="4"/>
      <c r="N328" s="38">
        <f t="shared" si="64"/>
        <v>0</v>
      </c>
      <c r="O328" s="38">
        <f t="shared" si="65"/>
        <v>0</v>
      </c>
      <c r="P328" s="5"/>
      <c r="Q328" s="38">
        <f t="shared" si="66"/>
        <v>8129.5600000000559</v>
      </c>
      <c r="R328" s="58"/>
      <c r="S328" s="6"/>
      <c r="T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ht="18" x14ac:dyDescent="0.25">
      <c r="A329" s="36">
        <f t="shared" si="68"/>
        <v>46300</v>
      </c>
      <c r="B329" s="37" t="s">
        <v>16</v>
      </c>
      <c r="C329" s="38">
        <f t="shared" si="67"/>
        <v>8129.5600000000559</v>
      </c>
      <c r="D329" s="24"/>
      <c r="E329" s="24"/>
      <c r="F329" s="24"/>
      <c r="G329" s="24"/>
      <c r="H329" s="15"/>
      <c r="I329" s="15"/>
      <c r="J329" s="15"/>
      <c r="K329" s="15"/>
      <c r="L329" s="38">
        <f t="shared" si="63"/>
        <v>0</v>
      </c>
      <c r="M329" s="4"/>
      <c r="N329" s="38">
        <f t="shared" si="64"/>
        <v>0</v>
      </c>
      <c r="O329" s="38">
        <f t="shared" si="65"/>
        <v>0</v>
      </c>
      <c r="P329" s="5"/>
      <c r="Q329" s="38">
        <f t="shared" si="66"/>
        <v>8129.5600000000559</v>
      </c>
      <c r="R329" s="58"/>
      <c r="S329" s="6"/>
      <c r="T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ht="18" x14ac:dyDescent="0.25">
      <c r="A330" s="36">
        <f t="shared" si="68"/>
        <v>46301</v>
      </c>
      <c r="B330" s="37" t="s">
        <v>17</v>
      </c>
      <c r="C330" s="38">
        <f t="shared" si="67"/>
        <v>8129.5600000000559</v>
      </c>
      <c r="D330" s="24"/>
      <c r="E330" s="24"/>
      <c r="F330" s="24"/>
      <c r="G330" s="24"/>
      <c r="H330" s="15"/>
      <c r="I330" s="15"/>
      <c r="J330" s="15"/>
      <c r="K330" s="15"/>
      <c r="L330" s="38">
        <f t="shared" si="63"/>
        <v>0</v>
      </c>
      <c r="M330" s="4"/>
      <c r="N330" s="38">
        <f t="shared" si="64"/>
        <v>0</v>
      </c>
      <c r="O330" s="38">
        <f t="shared" si="65"/>
        <v>0</v>
      </c>
      <c r="P330" s="5"/>
      <c r="Q330" s="38">
        <f t="shared" si="66"/>
        <v>8129.5600000000559</v>
      </c>
      <c r="R330" s="58"/>
      <c r="S330" s="6"/>
      <c r="T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ht="18" x14ac:dyDescent="0.25">
      <c r="A331" s="36">
        <f t="shared" si="68"/>
        <v>46302</v>
      </c>
      <c r="B331" s="37" t="s">
        <v>18</v>
      </c>
      <c r="C331" s="38">
        <f t="shared" si="67"/>
        <v>8129.5600000000559</v>
      </c>
      <c r="D331" s="24"/>
      <c r="E331" s="24"/>
      <c r="F331" s="24"/>
      <c r="G331" s="24"/>
      <c r="H331" s="15"/>
      <c r="I331" s="15"/>
      <c r="J331" s="15"/>
      <c r="K331" s="15"/>
      <c r="L331" s="38">
        <f t="shared" si="63"/>
        <v>0</v>
      </c>
      <c r="M331" s="4"/>
      <c r="N331" s="38">
        <f t="shared" si="64"/>
        <v>0</v>
      </c>
      <c r="O331" s="38">
        <f t="shared" si="65"/>
        <v>0</v>
      </c>
      <c r="P331" s="5"/>
      <c r="Q331" s="38">
        <f t="shared" si="66"/>
        <v>8129.5600000000559</v>
      </c>
      <c r="R331" s="58"/>
      <c r="S331" s="6"/>
      <c r="T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ht="18" x14ac:dyDescent="0.25">
      <c r="A332" s="36">
        <f t="shared" si="68"/>
        <v>46303</v>
      </c>
      <c r="B332" s="37" t="s">
        <v>19</v>
      </c>
      <c r="C332" s="38">
        <f t="shared" si="67"/>
        <v>8129.5600000000559</v>
      </c>
      <c r="D332" s="24"/>
      <c r="E332" s="24"/>
      <c r="F332" s="24"/>
      <c r="G332" s="24"/>
      <c r="H332" s="15"/>
      <c r="I332" s="15"/>
      <c r="J332" s="15"/>
      <c r="K332" s="15"/>
      <c r="L332" s="38">
        <f t="shared" si="63"/>
        <v>0</v>
      </c>
      <c r="M332" s="4"/>
      <c r="N332" s="38">
        <f t="shared" si="64"/>
        <v>0</v>
      </c>
      <c r="O332" s="38">
        <f t="shared" si="65"/>
        <v>0</v>
      </c>
      <c r="P332" s="5"/>
      <c r="Q332" s="38">
        <f t="shared" si="66"/>
        <v>8129.5600000000559</v>
      </c>
      <c r="R332" s="58"/>
      <c r="S332" s="6"/>
      <c r="T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ht="18" x14ac:dyDescent="0.25">
      <c r="A333" s="36">
        <f t="shared" si="68"/>
        <v>46304</v>
      </c>
      <c r="B333" s="37" t="s">
        <v>20</v>
      </c>
      <c r="C333" s="38">
        <f t="shared" si="67"/>
        <v>8129.5600000000559</v>
      </c>
      <c r="D333" s="24"/>
      <c r="E333" s="24"/>
      <c r="F333" s="24"/>
      <c r="G333" s="24"/>
      <c r="H333" s="15"/>
      <c r="I333" s="15"/>
      <c r="J333" s="15"/>
      <c r="K333" s="15"/>
      <c r="L333" s="38">
        <f t="shared" si="63"/>
        <v>0</v>
      </c>
      <c r="M333" s="4"/>
      <c r="N333" s="38">
        <f t="shared" si="64"/>
        <v>0</v>
      </c>
      <c r="O333" s="38">
        <f t="shared" si="65"/>
        <v>0</v>
      </c>
      <c r="P333" s="5"/>
      <c r="Q333" s="38">
        <f t="shared" si="66"/>
        <v>8129.5600000000559</v>
      </c>
      <c r="R333" s="58"/>
      <c r="S333" s="6"/>
      <c r="T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ht="18" x14ac:dyDescent="0.25">
      <c r="A334" s="36">
        <f t="shared" si="68"/>
        <v>46305</v>
      </c>
      <c r="B334" s="37" t="s">
        <v>21</v>
      </c>
      <c r="C334" s="38">
        <f t="shared" si="67"/>
        <v>8129.5600000000559</v>
      </c>
      <c r="D334" s="24"/>
      <c r="E334" s="24"/>
      <c r="F334" s="24"/>
      <c r="G334" s="24"/>
      <c r="H334" s="15"/>
      <c r="I334" s="15"/>
      <c r="J334" s="15"/>
      <c r="K334" s="15"/>
      <c r="L334" s="38">
        <f t="shared" si="63"/>
        <v>0</v>
      </c>
      <c r="M334" s="4"/>
      <c r="N334" s="38">
        <f t="shared" si="64"/>
        <v>0</v>
      </c>
      <c r="O334" s="38">
        <f t="shared" si="65"/>
        <v>0</v>
      </c>
      <c r="P334" s="5"/>
      <c r="Q334" s="38">
        <f t="shared" si="66"/>
        <v>8129.5600000000559</v>
      </c>
      <c r="R334" s="58"/>
      <c r="S334" s="6"/>
      <c r="T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ht="18" x14ac:dyDescent="0.25">
      <c r="A335" s="36">
        <f t="shared" si="68"/>
        <v>46306</v>
      </c>
      <c r="B335" s="37" t="s">
        <v>22</v>
      </c>
      <c r="C335" s="38">
        <f t="shared" si="67"/>
        <v>8129.5600000000559</v>
      </c>
      <c r="D335" s="24"/>
      <c r="E335" s="24"/>
      <c r="F335" s="24"/>
      <c r="G335" s="24"/>
      <c r="H335" s="15"/>
      <c r="I335" s="15"/>
      <c r="J335" s="15"/>
      <c r="K335" s="15"/>
      <c r="L335" s="38">
        <f t="shared" si="63"/>
        <v>0</v>
      </c>
      <c r="M335" s="4"/>
      <c r="N335" s="38">
        <f t="shared" si="64"/>
        <v>0</v>
      </c>
      <c r="O335" s="38">
        <f t="shared" si="65"/>
        <v>0</v>
      </c>
      <c r="P335" s="5"/>
      <c r="Q335" s="38">
        <f t="shared" si="66"/>
        <v>8129.5600000000559</v>
      </c>
      <c r="R335" s="58"/>
      <c r="S335" s="6"/>
      <c r="T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ht="18" x14ac:dyDescent="0.25">
      <c r="A336" s="36">
        <f t="shared" si="68"/>
        <v>46307</v>
      </c>
      <c r="B336" s="37" t="s">
        <v>16</v>
      </c>
      <c r="C336" s="38">
        <f t="shared" si="67"/>
        <v>8129.5600000000559</v>
      </c>
      <c r="D336" s="24"/>
      <c r="E336" s="24"/>
      <c r="F336" s="24"/>
      <c r="G336" s="24"/>
      <c r="H336" s="15"/>
      <c r="I336" s="15"/>
      <c r="J336" s="15"/>
      <c r="K336" s="15"/>
      <c r="L336" s="38">
        <f t="shared" si="63"/>
        <v>0</v>
      </c>
      <c r="M336" s="4"/>
      <c r="N336" s="38">
        <f t="shared" si="64"/>
        <v>0</v>
      </c>
      <c r="O336" s="38">
        <f t="shared" si="65"/>
        <v>0</v>
      </c>
      <c r="P336" s="5"/>
      <c r="Q336" s="38">
        <f t="shared" si="66"/>
        <v>8129.5600000000559</v>
      </c>
      <c r="R336" s="58"/>
      <c r="S336" s="6"/>
      <c r="T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ht="18" x14ac:dyDescent="0.25">
      <c r="A337" s="36">
        <f t="shared" si="68"/>
        <v>46308</v>
      </c>
      <c r="B337" s="37" t="s">
        <v>17</v>
      </c>
      <c r="C337" s="38">
        <f t="shared" si="67"/>
        <v>8129.5600000000559</v>
      </c>
      <c r="D337" s="24"/>
      <c r="E337" s="24"/>
      <c r="F337" s="24"/>
      <c r="G337" s="24"/>
      <c r="H337" s="15"/>
      <c r="I337" s="15"/>
      <c r="J337" s="15"/>
      <c r="K337" s="15"/>
      <c r="L337" s="38">
        <f t="shared" si="63"/>
        <v>0</v>
      </c>
      <c r="M337" s="4"/>
      <c r="N337" s="38">
        <f t="shared" si="64"/>
        <v>0</v>
      </c>
      <c r="O337" s="38">
        <f t="shared" si="65"/>
        <v>0</v>
      </c>
      <c r="P337" s="5"/>
      <c r="Q337" s="38">
        <f t="shared" si="66"/>
        <v>8129.5600000000559</v>
      </c>
      <c r="R337" s="58"/>
      <c r="S337" s="6"/>
      <c r="T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ht="18" x14ac:dyDescent="0.25">
      <c r="A338" s="36">
        <f t="shared" si="68"/>
        <v>46309</v>
      </c>
      <c r="B338" s="37" t="s">
        <v>18</v>
      </c>
      <c r="C338" s="38">
        <f t="shared" si="67"/>
        <v>8129.5600000000559</v>
      </c>
      <c r="D338" s="24"/>
      <c r="E338" s="24"/>
      <c r="F338" s="24"/>
      <c r="G338" s="24"/>
      <c r="H338" s="15"/>
      <c r="I338" s="15"/>
      <c r="J338" s="15"/>
      <c r="K338" s="15"/>
      <c r="L338" s="38">
        <f t="shared" si="63"/>
        <v>0</v>
      </c>
      <c r="M338" s="4"/>
      <c r="N338" s="38">
        <f t="shared" si="64"/>
        <v>0</v>
      </c>
      <c r="O338" s="38">
        <f t="shared" si="65"/>
        <v>0</v>
      </c>
      <c r="P338" s="5"/>
      <c r="Q338" s="38">
        <f t="shared" si="66"/>
        <v>8129.5600000000559</v>
      </c>
      <c r="R338" s="58"/>
      <c r="S338" s="6"/>
      <c r="T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ht="18" x14ac:dyDescent="0.25">
      <c r="A339" s="36">
        <f t="shared" si="68"/>
        <v>46310</v>
      </c>
      <c r="B339" s="37" t="s">
        <v>19</v>
      </c>
      <c r="C339" s="38">
        <f t="shared" si="67"/>
        <v>8129.5600000000559</v>
      </c>
      <c r="D339" s="24"/>
      <c r="E339" s="24"/>
      <c r="F339" s="24"/>
      <c r="G339" s="24"/>
      <c r="H339" s="15"/>
      <c r="I339" s="15"/>
      <c r="J339" s="15"/>
      <c r="K339" s="15"/>
      <c r="L339" s="38">
        <f t="shared" si="63"/>
        <v>0</v>
      </c>
      <c r="M339" s="4"/>
      <c r="N339" s="38">
        <f t="shared" si="64"/>
        <v>0</v>
      </c>
      <c r="O339" s="38">
        <f t="shared" si="65"/>
        <v>0</v>
      </c>
      <c r="P339" s="5"/>
      <c r="Q339" s="38">
        <f t="shared" si="66"/>
        <v>8129.5600000000559</v>
      </c>
      <c r="R339" s="58"/>
      <c r="S339" s="6"/>
      <c r="T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ht="18" x14ac:dyDescent="0.25">
      <c r="A340" s="36">
        <f t="shared" si="68"/>
        <v>46311</v>
      </c>
      <c r="B340" s="37" t="s">
        <v>20</v>
      </c>
      <c r="C340" s="38">
        <f t="shared" si="67"/>
        <v>8129.5600000000559</v>
      </c>
      <c r="D340" s="24"/>
      <c r="E340" s="24"/>
      <c r="F340" s="24"/>
      <c r="G340" s="24"/>
      <c r="H340" s="15"/>
      <c r="I340" s="15"/>
      <c r="J340" s="15"/>
      <c r="K340" s="15"/>
      <c r="L340" s="38">
        <f t="shared" si="63"/>
        <v>0</v>
      </c>
      <c r="M340" s="4"/>
      <c r="N340" s="38">
        <f t="shared" si="64"/>
        <v>0</v>
      </c>
      <c r="O340" s="38">
        <f t="shared" si="65"/>
        <v>0</v>
      </c>
      <c r="P340" s="5"/>
      <c r="Q340" s="38">
        <f t="shared" si="66"/>
        <v>8129.5600000000559</v>
      </c>
      <c r="R340" s="58"/>
      <c r="S340" s="6"/>
      <c r="T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ht="18" x14ac:dyDescent="0.25">
      <c r="A341" s="36">
        <f t="shared" si="68"/>
        <v>46312</v>
      </c>
      <c r="B341" s="37" t="s">
        <v>21</v>
      </c>
      <c r="C341" s="38">
        <f t="shared" si="67"/>
        <v>8129.5600000000559</v>
      </c>
      <c r="D341" s="24"/>
      <c r="E341" s="24"/>
      <c r="F341" s="24"/>
      <c r="G341" s="24"/>
      <c r="H341" s="15"/>
      <c r="I341" s="15"/>
      <c r="J341" s="15"/>
      <c r="K341" s="15"/>
      <c r="L341" s="38">
        <f t="shared" si="63"/>
        <v>0</v>
      </c>
      <c r="M341" s="4"/>
      <c r="N341" s="38">
        <f t="shared" si="64"/>
        <v>0</v>
      </c>
      <c r="O341" s="38">
        <f t="shared" si="65"/>
        <v>0</v>
      </c>
      <c r="P341" s="5"/>
      <c r="Q341" s="38">
        <f t="shared" si="66"/>
        <v>8129.5600000000559</v>
      </c>
      <c r="R341" s="58"/>
      <c r="S341" s="6"/>
      <c r="T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ht="18" x14ac:dyDescent="0.25">
      <c r="A342" s="36">
        <f t="shared" si="68"/>
        <v>46313</v>
      </c>
      <c r="B342" s="37" t="s">
        <v>22</v>
      </c>
      <c r="C342" s="38">
        <f t="shared" si="67"/>
        <v>8129.5600000000559</v>
      </c>
      <c r="D342" s="24"/>
      <c r="E342" s="24"/>
      <c r="F342" s="24"/>
      <c r="G342" s="24"/>
      <c r="H342" s="15"/>
      <c r="I342" s="15"/>
      <c r="J342" s="15"/>
      <c r="K342" s="15"/>
      <c r="L342" s="38">
        <f t="shared" si="63"/>
        <v>0</v>
      </c>
      <c r="M342" s="4"/>
      <c r="N342" s="38">
        <f t="shared" si="64"/>
        <v>0</v>
      </c>
      <c r="O342" s="38">
        <f t="shared" si="65"/>
        <v>0</v>
      </c>
      <c r="P342" s="5"/>
      <c r="Q342" s="38">
        <f t="shared" si="66"/>
        <v>8129.5600000000559</v>
      </c>
      <c r="R342" s="58"/>
      <c r="S342" s="6"/>
      <c r="T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ht="18" x14ac:dyDescent="0.25">
      <c r="A343" s="36">
        <f t="shared" si="68"/>
        <v>46314</v>
      </c>
      <c r="B343" s="37" t="s">
        <v>24</v>
      </c>
      <c r="C343" s="38">
        <f t="shared" si="67"/>
        <v>8129.5600000000559</v>
      </c>
      <c r="D343" s="25"/>
      <c r="E343" s="24"/>
      <c r="F343" s="24"/>
      <c r="G343" s="24"/>
      <c r="H343" s="15"/>
      <c r="I343" s="15"/>
      <c r="J343" s="15"/>
      <c r="K343" s="15"/>
      <c r="L343" s="38">
        <f t="shared" si="63"/>
        <v>0</v>
      </c>
      <c r="M343" s="4"/>
      <c r="N343" s="38">
        <f t="shared" si="64"/>
        <v>0</v>
      </c>
      <c r="O343" s="38">
        <f t="shared" si="65"/>
        <v>0</v>
      </c>
      <c r="P343" s="5"/>
      <c r="Q343" s="38">
        <f t="shared" si="66"/>
        <v>8129.5600000000559</v>
      </c>
      <c r="R343" s="58"/>
      <c r="S343" s="6"/>
      <c r="T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ht="18" x14ac:dyDescent="0.25">
      <c r="A344" s="36">
        <f t="shared" si="68"/>
        <v>46315</v>
      </c>
      <c r="B344" s="37" t="s">
        <v>17</v>
      </c>
      <c r="C344" s="38">
        <f t="shared" si="67"/>
        <v>8129.5600000000559</v>
      </c>
      <c r="D344" s="24"/>
      <c r="E344" s="24"/>
      <c r="F344" s="24"/>
      <c r="G344" s="24"/>
      <c r="H344" s="15"/>
      <c r="I344" s="15"/>
      <c r="J344" s="15"/>
      <c r="K344" s="15"/>
      <c r="L344" s="38">
        <f t="shared" si="63"/>
        <v>0</v>
      </c>
      <c r="M344" s="4"/>
      <c r="N344" s="38">
        <f t="shared" si="64"/>
        <v>0</v>
      </c>
      <c r="O344" s="38">
        <f t="shared" si="65"/>
        <v>0</v>
      </c>
      <c r="P344" s="5"/>
      <c r="Q344" s="38">
        <f t="shared" si="66"/>
        <v>8129.5600000000559</v>
      </c>
      <c r="R344" s="58"/>
      <c r="S344" s="6"/>
      <c r="T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ht="18" x14ac:dyDescent="0.25">
      <c r="A345" s="36">
        <f t="shared" si="68"/>
        <v>46316</v>
      </c>
      <c r="B345" s="37" t="s">
        <v>25</v>
      </c>
      <c r="C345" s="38">
        <f t="shared" si="67"/>
        <v>8129.5600000000559</v>
      </c>
      <c r="D345" s="24"/>
      <c r="E345" s="24"/>
      <c r="F345" s="24"/>
      <c r="G345" s="24"/>
      <c r="H345" s="15"/>
      <c r="I345" s="15"/>
      <c r="J345" s="15"/>
      <c r="K345" s="15"/>
      <c r="L345" s="38">
        <f t="shared" si="63"/>
        <v>0</v>
      </c>
      <c r="M345" s="4"/>
      <c r="N345" s="38">
        <f t="shared" si="64"/>
        <v>0</v>
      </c>
      <c r="O345" s="38">
        <f t="shared" si="65"/>
        <v>0</v>
      </c>
      <c r="P345" s="5"/>
      <c r="Q345" s="38">
        <f t="shared" si="66"/>
        <v>8129.5600000000559</v>
      </c>
      <c r="R345" s="58"/>
      <c r="S345" s="6"/>
      <c r="T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ht="18" x14ac:dyDescent="0.25">
      <c r="A346" s="36">
        <f t="shared" si="68"/>
        <v>46317</v>
      </c>
      <c r="B346" s="37" t="s">
        <v>19</v>
      </c>
      <c r="C346" s="38">
        <f t="shared" si="67"/>
        <v>8129.5600000000559</v>
      </c>
      <c r="D346" s="24"/>
      <c r="E346" s="24"/>
      <c r="F346" s="24"/>
      <c r="G346" s="24"/>
      <c r="H346" s="15"/>
      <c r="I346" s="15"/>
      <c r="J346" s="15"/>
      <c r="K346" s="15"/>
      <c r="L346" s="38">
        <f t="shared" si="63"/>
        <v>0</v>
      </c>
      <c r="M346" s="4"/>
      <c r="N346" s="38">
        <f t="shared" si="64"/>
        <v>0</v>
      </c>
      <c r="O346" s="38">
        <f t="shared" si="65"/>
        <v>0</v>
      </c>
      <c r="P346" s="5"/>
      <c r="Q346" s="38">
        <f t="shared" si="66"/>
        <v>8129.5600000000559</v>
      </c>
      <c r="R346" s="58"/>
      <c r="S346" s="6"/>
      <c r="T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ht="18" x14ac:dyDescent="0.25">
      <c r="A347" s="36">
        <f t="shared" si="68"/>
        <v>46318</v>
      </c>
      <c r="B347" s="37" t="s">
        <v>20</v>
      </c>
      <c r="C347" s="38">
        <f t="shared" si="67"/>
        <v>8129.5600000000559</v>
      </c>
      <c r="D347" s="24"/>
      <c r="E347" s="24"/>
      <c r="F347" s="24"/>
      <c r="G347" s="24"/>
      <c r="H347" s="15"/>
      <c r="I347" s="15"/>
      <c r="J347" s="15"/>
      <c r="K347" s="15"/>
      <c r="L347" s="38">
        <f t="shared" si="63"/>
        <v>0</v>
      </c>
      <c r="M347" s="4"/>
      <c r="N347" s="38">
        <f t="shared" si="64"/>
        <v>0</v>
      </c>
      <c r="O347" s="38">
        <f t="shared" si="65"/>
        <v>0</v>
      </c>
      <c r="P347" s="5"/>
      <c r="Q347" s="38">
        <f t="shared" si="66"/>
        <v>8129.5600000000559</v>
      </c>
      <c r="R347" s="58"/>
      <c r="S347" s="6"/>
      <c r="T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ht="18" x14ac:dyDescent="0.25">
      <c r="A348" s="36">
        <f t="shared" si="68"/>
        <v>46319</v>
      </c>
      <c r="B348" s="37" t="s">
        <v>21</v>
      </c>
      <c r="C348" s="38">
        <f t="shared" si="67"/>
        <v>8129.5600000000559</v>
      </c>
      <c r="D348" s="24"/>
      <c r="E348" s="24"/>
      <c r="F348" s="24"/>
      <c r="G348" s="24"/>
      <c r="H348" s="15"/>
      <c r="I348" s="15"/>
      <c r="J348" s="15"/>
      <c r="K348" s="15"/>
      <c r="L348" s="38">
        <f t="shared" si="63"/>
        <v>0</v>
      </c>
      <c r="M348" s="26"/>
      <c r="N348" s="38">
        <f t="shared" si="64"/>
        <v>0</v>
      </c>
      <c r="O348" s="38">
        <f t="shared" si="65"/>
        <v>0</v>
      </c>
      <c r="P348" s="5"/>
      <c r="Q348" s="38">
        <f t="shared" si="66"/>
        <v>8129.5600000000559</v>
      </c>
      <c r="R348" s="58"/>
      <c r="S348" s="6"/>
      <c r="T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ht="18" x14ac:dyDescent="0.25">
      <c r="A349" s="36">
        <f t="shared" si="68"/>
        <v>46320</v>
      </c>
      <c r="B349" s="37" t="s">
        <v>23</v>
      </c>
      <c r="C349" s="38">
        <f t="shared" si="67"/>
        <v>8129.5600000000559</v>
      </c>
      <c r="D349" s="25"/>
      <c r="E349" s="24"/>
      <c r="F349" s="24"/>
      <c r="G349" s="24"/>
      <c r="H349" s="15"/>
      <c r="I349" s="15"/>
      <c r="J349" s="15"/>
      <c r="K349" s="15"/>
      <c r="L349" s="38">
        <f t="shared" si="63"/>
        <v>0</v>
      </c>
      <c r="M349" s="26"/>
      <c r="N349" s="38">
        <f t="shared" si="64"/>
        <v>0</v>
      </c>
      <c r="O349" s="38">
        <f t="shared" si="65"/>
        <v>0</v>
      </c>
      <c r="P349" s="5"/>
      <c r="Q349" s="38">
        <f t="shared" si="66"/>
        <v>8129.5600000000559</v>
      </c>
      <c r="R349" s="58"/>
      <c r="S349" s="6"/>
      <c r="T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ht="18" x14ac:dyDescent="0.25">
      <c r="A350" s="36">
        <f t="shared" si="68"/>
        <v>46321</v>
      </c>
      <c r="B350" s="37" t="s">
        <v>24</v>
      </c>
      <c r="C350" s="38">
        <f t="shared" si="67"/>
        <v>8129.5600000000559</v>
      </c>
      <c r="D350" s="24"/>
      <c r="E350" s="24"/>
      <c r="F350" s="24"/>
      <c r="G350" s="24"/>
      <c r="H350" s="15"/>
      <c r="I350" s="15"/>
      <c r="J350" s="15"/>
      <c r="K350" s="15"/>
      <c r="L350" s="38">
        <f t="shared" si="63"/>
        <v>0</v>
      </c>
      <c r="M350" s="4"/>
      <c r="N350" s="38">
        <f t="shared" si="64"/>
        <v>0</v>
      </c>
      <c r="O350" s="38">
        <f t="shared" si="65"/>
        <v>0</v>
      </c>
      <c r="P350" s="5"/>
      <c r="Q350" s="38">
        <f t="shared" si="66"/>
        <v>8129.5600000000559</v>
      </c>
      <c r="R350" s="58"/>
      <c r="S350" s="6"/>
      <c r="T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ht="18" x14ac:dyDescent="0.25">
      <c r="A351" s="36">
        <f t="shared" si="68"/>
        <v>46322</v>
      </c>
      <c r="B351" s="37" t="s">
        <v>17</v>
      </c>
      <c r="C351" s="38">
        <f t="shared" si="67"/>
        <v>8129.5600000000559</v>
      </c>
      <c r="D351" s="24"/>
      <c r="E351" s="24"/>
      <c r="F351" s="24"/>
      <c r="G351" s="24"/>
      <c r="H351" s="15"/>
      <c r="I351" s="15"/>
      <c r="J351" s="15"/>
      <c r="K351" s="15"/>
      <c r="L351" s="38">
        <f t="shared" si="63"/>
        <v>0</v>
      </c>
      <c r="M351" s="4"/>
      <c r="N351" s="38">
        <f t="shared" si="64"/>
        <v>0</v>
      </c>
      <c r="O351" s="38">
        <f t="shared" si="65"/>
        <v>0</v>
      </c>
      <c r="P351" s="5"/>
      <c r="Q351" s="38">
        <f t="shared" si="66"/>
        <v>8129.5600000000559</v>
      </c>
      <c r="R351" s="58"/>
      <c r="S351" s="6"/>
      <c r="T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ht="18" x14ac:dyDescent="0.25">
      <c r="A352" s="36">
        <f t="shared" si="68"/>
        <v>46323</v>
      </c>
      <c r="B352" s="37" t="s">
        <v>25</v>
      </c>
      <c r="C352" s="38">
        <f t="shared" si="67"/>
        <v>8129.5600000000559</v>
      </c>
      <c r="D352" s="24"/>
      <c r="E352" s="24"/>
      <c r="F352" s="24"/>
      <c r="G352" s="24"/>
      <c r="H352" s="15"/>
      <c r="I352" s="15"/>
      <c r="J352" s="15"/>
      <c r="K352" s="15"/>
      <c r="L352" s="38">
        <f t="shared" si="63"/>
        <v>0</v>
      </c>
      <c r="M352" s="4"/>
      <c r="N352" s="38">
        <f t="shared" si="64"/>
        <v>0</v>
      </c>
      <c r="O352" s="38">
        <f t="shared" si="65"/>
        <v>0</v>
      </c>
      <c r="P352" s="5"/>
      <c r="Q352" s="38">
        <f t="shared" si="66"/>
        <v>8129.5600000000559</v>
      </c>
      <c r="R352" s="58"/>
      <c r="S352" s="6"/>
      <c r="T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ht="18" x14ac:dyDescent="0.25">
      <c r="A353" s="36">
        <f t="shared" si="68"/>
        <v>46324</v>
      </c>
      <c r="B353" s="37" t="s">
        <v>19</v>
      </c>
      <c r="C353" s="38">
        <f t="shared" si="67"/>
        <v>8129.5600000000559</v>
      </c>
      <c r="D353" s="24"/>
      <c r="E353" s="24"/>
      <c r="F353" s="24"/>
      <c r="G353" s="24"/>
      <c r="H353" s="15"/>
      <c r="I353" s="15"/>
      <c r="J353" s="15"/>
      <c r="K353" s="15"/>
      <c r="L353" s="38">
        <f t="shared" si="63"/>
        <v>0</v>
      </c>
      <c r="M353" s="4"/>
      <c r="N353" s="38">
        <f t="shared" si="64"/>
        <v>0</v>
      </c>
      <c r="O353" s="38">
        <f t="shared" si="65"/>
        <v>0</v>
      </c>
      <c r="P353" s="5"/>
      <c r="Q353" s="38">
        <f t="shared" si="66"/>
        <v>8129.5600000000559</v>
      </c>
      <c r="R353" s="58"/>
      <c r="S353" s="6"/>
      <c r="T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ht="18" x14ac:dyDescent="0.25">
      <c r="A354" s="36">
        <f t="shared" si="68"/>
        <v>46325</v>
      </c>
      <c r="B354" s="37" t="s">
        <v>26</v>
      </c>
      <c r="C354" s="38">
        <f t="shared" si="67"/>
        <v>8129.5600000000559</v>
      </c>
      <c r="D354" s="24"/>
      <c r="E354" s="24"/>
      <c r="F354" s="24"/>
      <c r="G354" s="24"/>
      <c r="H354" s="15"/>
      <c r="I354" s="15"/>
      <c r="J354" s="15"/>
      <c r="K354" s="15"/>
      <c r="L354" s="38">
        <f t="shared" si="63"/>
        <v>0</v>
      </c>
      <c r="M354" s="4"/>
      <c r="N354" s="38">
        <f t="shared" si="64"/>
        <v>0</v>
      </c>
      <c r="O354" s="38">
        <f t="shared" si="65"/>
        <v>0</v>
      </c>
      <c r="P354" s="5"/>
      <c r="Q354" s="38">
        <f t="shared" si="66"/>
        <v>8129.5600000000559</v>
      </c>
      <c r="R354" s="58"/>
      <c r="S354" s="6"/>
      <c r="T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ht="18.75" thickBot="1" x14ac:dyDescent="0.3">
      <c r="A355" s="49">
        <f t="shared" si="68"/>
        <v>46326</v>
      </c>
      <c r="B355" s="75" t="s">
        <v>21</v>
      </c>
      <c r="C355" s="40">
        <f t="shared" si="67"/>
        <v>8129.5600000000559</v>
      </c>
      <c r="D355" s="27"/>
      <c r="E355" s="27"/>
      <c r="F355" s="27"/>
      <c r="G355" s="27"/>
      <c r="H355" s="16"/>
      <c r="I355" s="16"/>
      <c r="J355" s="16"/>
      <c r="K355" s="16"/>
      <c r="L355" s="40">
        <f t="shared" si="63"/>
        <v>0</v>
      </c>
      <c r="M355" s="11"/>
      <c r="N355" s="40">
        <f t="shared" si="64"/>
        <v>0</v>
      </c>
      <c r="O355" s="40">
        <f t="shared" si="65"/>
        <v>0</v>
      </c>
      <c r="P355" s="19"/>
      <c r="Q355" s="40">
        <f t="shared" si="66"/>
        <v>8129.5600000000559</v>
      </c>
      <c r="R355" s="60"/>
      <c r="S355" s="12"/>
      <c r="T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ht="19.5" thickTop="1" thickBot="1" x14ac:dyDescent="0.3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1"/>
      <c r="U356" s="7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ht="19.5" thickTop="1" thickBot="1" x14ac:dyDescent="0.3">
      <c r="A357" s="84"/>
      <c r="B357" s="85"/>
      <c r="C357" s="86"/>
      <c r="D357" s="13">
        <f t="shared" ref="D357:P357" si="69">SUM(D325:D355)</f>
        <v>0</v>
      </c>
      <c r="E357" s="13">
        <f t="shared" si="69"/>
        <v>0</v>
      </c>
      <c r="F357" s="13">
        <f t="shared" si="69"/>
        <v>0</v>
      </c>
      <c r="G357" s="13">
        <f t="shared" si="69"/>
        <v>0</v>
      </c>
      <c r="H357" s="13">
        <f t="shared" si="69"/>
        <v>0</v>
      </c>
      <c r="I357" s="13">
        <f t="shared" si="69"/>
        <v>0</v>
      </c>
      <c r="J357" s="13">
        <f t="shared" si="69"/>
        <v>0</v>
      </c>
      <c r="K357" s="13">
        <f t="shared" si="69"/>
        <v>0</v>
      </c>
      <c r="L357" s="38">
        <f t="shared" si="69"/>
        <v>0</v>
      </c>
      <c r="M357" s="13">
        <f t="shared" si="69"/>
        <v>0</v>
      </c>
      <c r="N357" s="38">
        <f t="shared" si="69"/>
        <v>0</v>
      </c>
      <c r="O357" s="38">
        <f t="shared" si="69"/>
        <v>0</v>
      </c>
      <c r="P357" s="13">
        <f t="shared" si="69"/>
        <v>0</v>
      </c>
      <c r="Q357" s="38">
        <f>C325+C357+L357+-M357-N357-O357-P357</f>
        <v>8129.5600000000559</v>
      </c>
      <c r="R357" s="63"/>
      <c r="S357" s="14"/>
      <c r="U357" s="7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ht="19.5" thickTop="1" thickBot="1" x14ac:dyDescent="0.3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1"/>
      <c r="U358" s="7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ht="20.25" customHeight="1" thickTop="1" thickBot="1" x14ac:dyDescent="0.3">
      <c r="A359" s="94" t="s">
        <v>0</v>
      </c>
      <c r="B359" s="96" t="s">
        <v>1</v>
      </c>
      <c r="C359" s="98" t="s">
        <v>2</v>
      </c>
      <c r="D359" s="80" t="s">
        <v>3</v>
      </c>
      <c r="E359" s="100" t="s">
        <v>4</v>
      </c>
      <c r="F359" s="101"/>
      <c r="G359" s="101"/>
      <c r="H359" s="101"/>
      <c r="I359" s="101"/>
      <c r="J359" s="101"/>
      <c r="K359" s="102"/>
      <c r="L359" s="80" t="s">
        <v>5</v>
      </c>
      <c r="M359" s="80" t="s">
        <v>6</v>
      </c>
      <c r="N359" s="80" t="s">
        <v>7</v>
      </c>
      <c r="O359" s="80" t="s">
        <v>8</v>
      </c>
      <c r="P359" s="80" t="s">
        <v>9</v>
      </c>
      <c r="Q359" s="82" t="s">
        <v>10</v>
      </c>
      <c r="R359" s="82" t="s">
        <v>34</v>
      </c>
      <c r="S359" s="82" t="s">
        <v>11</v>
      </c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ht="19.5" thickTop="1" thickBot="1" x14ac:dyDescent="0.3">
      <c r="A360" s="95"/>
      <c r="B360" s="97"/>
      <c r="C360" s="99"/>
      <c r="D360" s="81"/>
      <c r="E360" s="41" t="s">
        <v>12</v>
      </c>
      <c r="F360" s="42" t="s">
        <v>13</v>
      </c>
      <c r="G360" s="41" t="s">
        <v>14</v>
      </c>
      <c r="H360" s="41" t="s">
        <v>15</v>
      </c>
      <c r="I360" s="41" t="s">
        <v>45</v>
      </c>
      <c r="J360" s="42" t="s">
        <v>44</v>
      </c>
      <c r="K360" s="42" t="s">
        <v>46</v>
      </c>
      <c r="L360" s="81"/>
      <c r="M360" s="81"/>
      <c r="N360" s="81"/>
      <c r="O360" s="81"/>
      <c r="P360" s="81"/>
      <c r="Q360" s="83"/>
      <c r="R360" s="83"/>
      <c r="S360" s="83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ht="18.75" thickTop="1" x14ac:dyDescent="0.25">
      <c r="A361" s="36">
        <f>A355+1</f>
        <v>46327</v>
      </c>
      <c r="B361" s="37" t="s">
        <v>22</v>
      </c>
      <c r="C361" s="38">
        <f>SUM(Q355)</f>
        <v>8129.5600000000559</v>
      </c>
      <c r="D361" s="24"/>
      <c r="E361" s="24"/>
      <c r="F361" s="24"/>
      <c r="G361" s="24"/>
      <c r="H361" s="15"/>
      <c r="I361" s="15"/>
      <c r="J361" s="15"/>
      <c r="K361" s="15"/>
      <c r="L361" s="38">
        <f t="shared" ref="L361:L390" si="70">SUM(D361:K361)</f>
        <v>0</v>
      </c>
      <c r="M361" s="4"/>
      <c r="N361" s="38">
        <f t="shared" ref="N361:N390" si="71">SUM(E361+F361+G361+H361)</f>
        <v>0</v>
      </c>
      <c r="O361" s="38">
        <f t="shared" ref="O361:O390" si="72">I361+K361+J361</f>
        <v>0</v>
      </c>
      <c r="P361" s="4"/>
      <c r="Q361" s="38">
        <f t="shared" ref="Q361:Q390" si="73">C361+L361+-M361-N361-O361-P361</f>
        <v>8129.5600000000559</v>
      </c>
      <c r="R361" s="58"/>
      <c r="S361" s="6"/>
      <c r="T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ht="18" x14ac:dyDescent="0.25">
      <c r="A362" s="36">
        <f>A361+1</f>
        <v>46328</v>
      </c>
      <c r="B362" s="37" t="s">
        <v>16</v>
      </c>
      <c r="C362" s="38">
        <f t="shared" ref="C362:C390" si="74">Q361</f>
        <v>8129.5600000000559</v>
      </c>
      <c r="D362" s="24"/>
      <c r="E362" s="24"/>
      <c r="F362" s="24"/>
      <c r="G362" s="24"/>
      <c r="H362" s="15"/>
      <c r="I362" s="15"/>
      <c r="J362" s="15"/>
      <c r="K362" s="15"/>
      <c r="L362" s="38">
        <f t="shared" si="70"/>
        <v>0</v>
      </c>
      <c r="M362" s="4"/>
      <c r="N362" s="38">
        <f t="shared" si="71"/>
        <v>0</v>
      </c>
      <c r="O362" s="38">
        <f t="shared" si="72"/>
        <v>0</v>
      </c>
      <c r="P362" s="4"/>
      <c r="Q362" s="38">
        <f t="shared" si="73"/>
        <v>8129.5600000000559</v>
      </c>
      <c r="R362" s="58"/>
      <c r="S362" s="6"/>
      <c r="T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ht="18" x14ac:dyDescent="0.25">
      <c r="A363" s="36">
        <f t="shared" ref="A363:A390" si="75">A362+1</f>
        <v>46329</v>
      </c>
      <c r="B363" s="37" t="s">
        <v>17</v>
      </c>
      <c r="C363" s="38">
        <f t="shared" si="74"/>
        <v>8129.5600000000559</v>
      </c>
      <c r="D363" s="24"/>
      <c r="E363" s="24"/>
      <c r="F363" s="24"/>
      <c r="G363" s="24"/>
      <c r="H363" s="15"/>
      <c r="I363" s="15"/>
      <c r="J363" s="15"/>
      <c r="K363" s="15"/>
      <c r="L363" s="38">
        <f t="shared" si="70"/>
        <v>0</v>
      </c>
      <c r="M363" s="4"/>
      <c r="N363" s="38">
        <f t="shared" si="71"/>
        <v>0</v>
      </c>
      <c r="O363" s="38">
        <f t="shared" si="72"/>
        <v>0</v>
      </c>
      <c r="P363" s="4"/>
      <c r="Q363" s="38">
        <f t="shared" si="73"/>
        <v>8129.5600000000559</v>
      </c>
      <c r="R363" s="58"/>
      <c r="S363" s="6"/>
      <c r="T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ht="18" x14ac:dyDescent="0.25">
      <c r="A364" s="36">
        <f t="shared" si="75"/>
        <v>46330</v>
      </c>
      <c r="B364" s="37" t="s">
        <v>18</v>
      </c>
      <c r="C364" s="38">
        <f t="shared" si="74"/>
        <v>8129.5600000000559</v>
      </c>
      <c r="D364" s="24"/>
      <c r="E364" s="24"/>
      <c r="F364" s="24"/>
      <c r="G364" s="24"/>
      <c r="H364" s="15"/>
      <c r="I364" s="15"/>
      <c r="J364" s="15"/>
      <c r="K364" s="15"/>
      <c r="L364" s="38">
        <f t="shared" si="70"/>
        <v>0</v>
      </c>
      <c r="M364" s="4"/>
      <c r="N364" s="38">
        <f t="shared" si="71"/>
        <v>0</v>
      </c>
      <c r="O364" s="38">
        <f t="shared" si="72"/>
        <v>0</v>
      </c>
      <c r="P364" s="4"/>
      <c r="Q364" s="38">
        <f t="shared" si="73"/>
        <v>8129.5600000000559</v>
      </c>
      <c r="R364" s="58"/>
      <c r="S364" s="6"/>
      <c r="T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ht="18" x14ac:dyDescent="0.25">
      <c r="A365" s="36">
        <f t="shared" si="75"/>
        <v>46331</v>
      </c>
      <c r="B365" s="37" t="s">
        <v>19</v>
      </c>
      <c r="C365" s="38">
        <f t="shared" si="74"/>
        <v>8129.5600000000559</v>
      </c>
      <c r="D365" s="24"/>
      <c r="E365" s="24"/>
      <c r="F365" s="24"/>
      <c r="G365" s="24"/>
      <c r="H365" s="15"/>
      <c r="I365" s="15"/>
      <c r="J365" s="15"/>
      <c r="K365" s="15"/>
      <c r="L365" s="38">
        <f t="shared" si="70"/>
        <v>0</v>
      </c>
      <c r="M365" s="4"/>
      <c r="N365" s="38">
        <f t="shared" si="71"/>
        <v>0</v>
      </c>
      <c r="O365" s="38">
        <f t="shared" si="72"/>
        <v>0</v>
      </c>
      <c r="P365" s="4"/>
      <c r="Q365" s="38">
        <f t="shared" si="73"/>
        <v>8129.5600000000559</v>
      </c>
      <c r="R365" s="58"/>
      <c r="S365" s="6"/>
      <c r="T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ht="18" x14ac:dyDescent="0.25">
      <c r="A366" s="36">
        <f t="shared" si="75"/>
        <v>46332</v>
      </c>
      <c r="B366" s="37" t="s">
        <v>20</v>
      </c>
      <c r="C366" s="38">
        <f t="shared" si="74"/>
        <v>8129.5600000000559</v>
      </c>
      <c r="D366" s="24"/>
      <c r="E366" s="24"/>
      <c r="F366" s="24"/>
      <c r="G366" s="24"/>
      <c r="H366" s="15"/>
      <c r="I366" s="15"/>
      <c r="J366" s="15"/>
      <c r="K366" s="15"/>
      <c r="L366" s="38">
        <f t="shared" si="70"/>
        <v>0</v>
      </c>
      <c r="M366" s="4"/>
      <c r="N366" s="38">
        <f t="shared" si="71"/>
        <v>0</v>
      </c>
      <c r="O366" s="38">
        <f t="shared" si="72"/>
        <v>0</v>
      </c>
      <c r="P366" s="4"/>
      <c r="Q366" s="38">
        <f t="shared" si="73"/>
        <v>8129.5600000000559</v>
      </c>
      <c r="R366" s="58"/>
      <c r="S366" s="6"/>
      <c r="T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ht="18" x14ac:dyDescent="0.25">
      <c r="A367" s="36">
        <f t="shared" si="75"/>
        <v>46333</v>
      </c>
      <c r="B367" s="37" t="s">
        <v>21</v>
      </c>
      <c r="C367" s="38">
        <f t="shared" si="74"/>
        <v>8129.5600000000559</v>
      </c>
      <c r="D367" s="24"/>
      <c r="E367" s="24"/>
      <c r="F367" s="24"/>
      <c r="G367" s="24"/>
      <c r="H367" s="15"/>
      <c r="I367" s="15"/>
      <c r="J367" s="15"/>
      <c r="K367" s="15"/>
      <c r="L367" s="38">
        <f t="shared" si="70"/>
        <v>0</v>
      </c>
      <c r="M367" s="4"/>
      <c r="N367" s="38">
        <f t="shared" si="71"/>
        <v>0</v>
      </c>
      <c r="O367" s="38">
        <f t="shared" si="72"/>
        <v>0</v>
      </c>
      <c r="P367" s="4"/>
      <c r="Q367" s="38">
        <f t="shared" si="73"/>
        <v>8129.5600000000559</v>
      </c>
      <c r="R367" s="58"/>
      <c r="S367" s="6"/>
      <c r="T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ht="18" x14ac:dyDescent="0.25">
      <c r="A368" s="36">
        <f t="shared" si="75"/>
        <v>46334</v>
      </c>
      <c r="B368" s="37" t="s">
        <v>22</v>
      </c>
      <c r="C368" s="38">
        <f t="shared" si="74"/>
        <v>8129.5600000000559</v>
      </c>
      <c r="D368" s="24"/>
      <c r="E368" s="24"/>
      <c r="F368" s="24"/>
      <c r="G368" s="24"/>
      <c r="H368" s="15"/>
      <c r="I368" s="15"/>
      <c r="J368" s="15"/>
      <c r="K368" s="15"/>
      <c r="L368" s="38">
        <f t="shared" si="70"/>
        <v>0</v>
      </c>
      <c r="M368" s="4"/>
      <c r="N368" s="38">
        <f t="shared" si="71"/>
        <v>0</v>
      </c>
      <c r="O368" s="38">
        <f t="shared" si="72"/>
        <v>0</v>
      </c>
      <c r="P368" s="4"/>
      <c r="Q368" s="38">
        <f t="shared" si="73"/>
        <v>8129.5600000000559</v>
      </c>
      <c r="R368" s="58"/>
      <c r="S368" s="6"/>
      <c r="T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ht="18" x14ac:dyDescent="0.25">
      <c r="A369" s="36">
        <f t="shared" si="75"/>
        <v>46335</v>
      </c>
      <c r="B369" s="37" t="s">
        <v>16</v>
      </c>
      <c r="C369" s="38">
        <f t="shared" si="74"/>
        <v>8129.5600000000559</v>
      </c>
      <c r="D369" s="24"/>
      <c r="E369" s="24"/>
      <c r="F369" s="24"/>
      <c r="G369" s="24"/>
      <c r="H369" s="15"/>
      <c r="I369" s="15"/>
      <c r="J369" s="15"/>
      <c r="K369" s="15"/>
      <c r="L369" s="38">
        <f t="shared" si="70"/>
        <v>0</v>
      </c>
      <c r="M369" s="4"/>
      <c r="N369" s="38">
        <f t="shared" si="71"/>
        <v>0</v>
      </c>
      <c r="O369" s="38">
        <f t="shared" si="72"/>
        <v>0</v>
      </c>
      <c r="P369" s="4"/>
      <c r="Q369" s="38">
        <f t="shared" si="73"/>
        <v>8129.5600000000559</v>
      </c>
      <c r="R369" s="58"/>
      <c r="S369" s="6"/>
      <c r="T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ht="18" x14ac:dyDescent="0.25">
      <c r="A370" s="36">
        <f t="shared" si="75"/>
        <v>46336</v>
      </c>
      <c r="B370" s="37" t="s">
        <v>17</v>
      </c>
      <c r="C370" s="38">
        <f t="shared" si="74"/>
        <v>8129.5600000000559</v>
      </c>
      <c r="D370" s="24"/>
      <c r="E370" s="25"/>
      <c r="F370" s="24"/>
      <c r="G370" s="24"/>
      <c r="H370" s="15"/>
      <c r="I370" s="15"/>
      <c r="J370" s="15"/>
      <c r="K370" s="15"/>
      <c r="L370" s="38">
        <f t="shared" si="70"/>
        <v>0</v>
      </c>
      <c r="M370" s="4"/>
      <c r="N370" s="38">
        <f t="shared" si="71"/>
        <v>0</v>
      </c>
      <c r="O370" s="38">
        <f t="shared" si="72"/>
        <v>0</v>
      </c>
      <c r="P370" s="4"/>
      <c r="Q370" s="38">
        <f t="shared" si="73"/>
        <v>8129.5600000000559</v>
      </c>
      <c r="R370" s="58"/>
      <c r="S370" s="6"/>
      <c r="T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ht="18" x14ac:dyDescent="0.25">
      <c r="A371" s="36">
        <f t="shared" si="75"/>
        <v>46337</v>
      </c>
      <c r="B371" s="37" t="s">
        <v>18</v>
      </c>
      <c r="C371" s="38">
        <f t="shared" si="74"/>
        <v>8129.5600000000559</v>
      </c>
      <c r="D371" s="24"/>
      <c r="E371" s="24"/>
      <c r="F371" s="24"/>
      <c r="G371" s="24"/>
      <c r="H371" s="15"/>
      <c r="I371" s="15"/>
      <c r="J371" s="15"/>
      <c r="K371" s="15"/>
      <c r="L371" s="38">
        <f t="shared" si="70"/>
        <v>0</v>
      </c>
      <c r="M371" s="4"/>
      <c r="N371" s="38">
        <f t="shared" si="71"/>
        <v>0</v>
      </c>
      <c r="O371" s="38">
        <f t="shared" si="72"/>
        <v>0</v>
      </c>
      <c r="P371" s="4"/>
      <c r="Q371" s="38">
        <f t="shared" si="73"/>
        <v>8129.5600000000559</v>
      </c>
      <c r="R371" s="58"/>
      <c r="S371" s="6"/>
      <c r="T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ht="18" x14ac:dyDescent="0.25">
      <c r="A372" s="36">
        <f t="shared" si="75"/>
        <v>46338</v>
      </c>
      <c r="B372" s="37" t="s">
        <v>19</v>
      </c>
      <c r="C372" s="38">
        <f t="shared" si="74"/>
        <v>8129.5600000000559</v>
      </c>
      <c r="D372" s="24"/>
      <c r="E372" s="24"/>
      <c r="F372" s="24"/>
      <c r="G372" s="24"/>
      <c r="H372" s="15"/>
      <c r="I372" s="15"/>
      <c r="J372" s="15"/>
      <c r="K372" s="15"/>
      <c r="L372" s="38">
        <f t="shared" si="70"/>
        <v>0</v>
      </c>
      <c r="M372" s="4"/>
      <c r="N372" s="38">
        <f t="shared" si="71"/>
        <v>0</v>
      </c>
      <c r="O372" s="38">
        <f t="shared" si="72"/>
        <v>0</v>
      </c>
      <c r="P372" s="4"/>
      <c r="Q372" s="38">
        <f t="shared" si="73"/>
        <v>8129.5600000000559</v>
      </c>
      <c r="R372" s="58"/>
      <c r="S372" s="6"/>
      <c r="T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ht="18" x14ac:dyDescent="0.25">
      <c r="A373" s="36">
        <f t="shared" si="75"/>
        <v>46339</v>
      </c>
      <c r="B373" s="37" t="s">
        <v>20</v>
      </c>
      <c r="C373" s="38">
        <f t="shared" si="74"/>
        <v>8129.5600000000559</v>
      </c>
      <c r="D373" s="24"/>
      <c r="E373" s="24"/>
      <c r="F373" s="24"/>
      <c r="G373" s="24"/>
      <c r="H373" s="15"/>
      <c r="I373" s="15"/>
      <c r="J373" s="15"/>
      <c r="K373" s="15"/>
      <c r="L373" s="38">
        <f t="shared" si="70"/>
        <v>0</v>
      </c>
      <c r="M373" s="4"/>
      <c r="N373" s="38">
        <f t="shared" si="71"/>
        <v>0</v>
      </c>
      <c r="O373" s="38">
        <f t="shared" si="72"/>
        <v>0</v>
      </c>
      <c r="P373" s="4"/>
      <c r="Q373" s="38">
        <f t="shared" si="73"/>
        <v>8129.5600000000559</v>
      </c>
      <c r="R373" s="58"/>
      <c r="S373" s="6"/>
      <c r="T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ht="18" x14ac:dyDescent="0.25">
      <c r="A374" s="36">
        <f t="shared" si="75"/>
        <v>46340</v>
      </c>
      <c r="B374" s="37" t="s">
        <v>21</v>
      </c>
      <c r="C374" s="38">
        <f t="shared" si="74"/>
        <v>8129.5600000000559</v>
      </c>
      <c r="D374" s="24"/>
      <c r="E374" s="24"/>
      <c r="F374" s="24"/>
      <c r="G374" s="24"/>
      <c r="H374" s="15"/>
      <c r="I374" s="15"/>
      <c r="J374" s="15"/>
      <c r="K374" s="15"/>
      <c r="L374" s="38">
        <f>SUM(D374:K374)</f>
        <v>0</v>
      </c>
      <c r="M374" s="4"/>
      <c r="N374" s="38">
        <f t="shared" si="71"/>
        <v>0</v>
      </c>
      <c r="O374" s="38">
        <f t="shared" si="72"/>
        <v>0</v>
      </c>
      <c r="P374" s="4"/>
      <c r="Q374" s="38">
        <f t="shared" si="73"/>
        <v>8129.5600000000559</v>
      </c>
      <c r="R374" s="58"/>
      <c r="S374" s="6"/>
      <c r="T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ht="18" x14ac:dyDescent="0.25">
      <c r="A375" s="36">
        <f t="shared" si="75"/>
        <v>46341</v>
      </c>
      <c r="B375" s="37" t="s">
        <v>22</v>
      </c>
      <c r="C375" s="38">
        <f t="shared" si="74"/>
        <v>8129.5600000000559</v>
      </c>
      <c r="D375" s="24"/>
      <c r="E375" s="24"/>
      <c r="F375" s="24"/>
      <c r="G375" s="24"/>
      <c r="H375" s="15"/>
      <c r="I375" s="15"/>
      <c r="J375" s="15"/>
      <c r="K375" s="15"/>
      <c r="L375" s="38">
        <f t="shared" si="70"/>
        <v>0</v>
      </c>
      <c r="M375" s="4"/>
      <c r="N375" s="38">
        <f t="shared" si="71"/>
        <v>0</v>
      </c>
      <c r="O375" s="38">
        <f t="shared" si="72"/>
        <v>0</v>
      </c>
      <c r="P375" s="4"/>
      <c r="Q375" s="38">
        <f t="shared" si="73"/>
        <v>8129.5600000000559</v>
      </c>
      <c r="R375" s="58"/>
      <c r="S375" s="6"/>
      <c r="T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ht="18" x14ac:dyDescent="0.25">
      <c r="A376" s="36">
        <f t="shared" si="75"/>
        <v>46342</v>
      </c>
      <c r="B376" s="37" t="s">
        <v>16</v>
      </c>
      <c r="C376" s="38">
        <f t="shared" si="74"/>
        <v>8129.5600000000559</v>
      </c>
      <c r="D376" s="24"/>
      <c r="E376" s="28"/>
      <c r="F376" s="24"/>
      <c r="G376" s="24"/>
      <c r="H376" s="15"/>
      <c r="I376" s="15"/>
      <c r="J376" s="15"/>
      <c r="K376" s="15"/>
      <c r="L376" s="38">
        <f t="shared" si="70"/>
        <v>0</v>
      </c>
      <c r="M376" s="4"/>
      <c r="N376" s="38">
        <f t="shared" si="71"/>
        <v>0</v>
      </c>
      <c r="O376" s="38">
        <f t="shared" si="72"/>
        <v>0</v>
      </c>
      <c r="P376" s="4"/>
      <c r="Q376" s="38">
        <f t="shared" si="73"/>
        <v>8129.5600000000559</v>
      </c>
      <c r="R376" s="58"/>
      <c r="S376" s="6"/>
      <c r="T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ht="18" x14ac:dyDescent="0.25">
      <c r="A377" s="36">
        <f t="shared" si="75"/>
        <v>46343</v>
      </c>
      <c r="B377" s="37" t="s">
        <v>17</v>
      </c>
      <c r="C377" s="38">
        <f t="shared" si="74"/>
        <v>8129.5600000000559</v>
      </c>
      <c r="D377" s="24"/>
      <c r="E377" s="24"/>
      <c r="F377" s="24"/>
      <c r="G377" s="24"/>
      <c r="H377" s="15"/>
      <c r="I377" s="15"/>
      <c r="J377" s="15"/>
      <c r="K377" s="15"/>
      <c r="L377" s="38">
        <f t="shared" si="70"/>
        <v>0</v>
      </c>
      <c r="M377" s="4"/>
      <c r="N377" s="38">
        <f t="shared" si="71"/>
        <v>0</v>
      </c>
      <c r="O377" s="38">
        <f t="shared" si="72"/>
        <v>0</v>
      </c>
      <c r="P377" s="4"/>
      <c r="Q377" s="38">
        <f t="shared" si="73"/>
        <v>8129.5600000000559</v>
      </c>
      <c r="R377" s="58"/>
      <c r="S377" s="6"/>
      <c r="T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ht="18" x14ac:dyDescent="0.25">
      <c r="A378" s="36">
        <f t="shared" si="75"/>
        <v>46344</v>
      </c>
      <c r="B378" s="37" t="s">
        <v>25</v>
      </c>
      <c r="C378" s="38">
        <f t="shared" si="74"/>
        <v>8129.5600000000559</v>
      </c>
      <c r="D378" s="24"/>
      <c r="E378" s="24"/>
      <c r="F378" s="24"/>
      <c r="G378" s="24"/>
      <c r="H378" s="15"/>
      <c r="I378" s="15"/>
      <c r="J378" s="15"/>
      <c r="K378" s="15"/>
      <c r="L378" s="38">
        <f t="shared" si="70"/>
        <v>0</v>
      </c>
      <c r="M378" s="4"/>
      <c r="N378" s="38">
        <f t="shared" si="71"/>
        <v>0</v>
      </c>
      <c r="O378" s="38">
        <f t="shared" si="72"/>
        <v>0</v>
      </c>
      <c r="P378" s="4"/>
      <c r="Q378" s="38">
        <f t="shared" si="73"/>
        <v>8129.5600000000559</v>
      </c>
      <c r="R378" s="58"/>
      <c r="S378" s="6"/>
      <c r="T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ht="18" x14ac:dyDescent="0.25">
      <c r="A379" s="36">
        <f t="shared" si="75"/>
        <v>46345</v>
      </c>
      <c r="B379" s="37" t="s">
        <v>19</v>
      </c>
      <c r="C379" s="38">
        <f t="shared" si="74"/>
        <v>8129.5600000000559</v>
      </c>
      <c r="D379" s="24"/>
      <c r="E379" s="24"/>
      <c r="F379" s="24"/>
      <c r="G379" s="24"/>
      <c r="H379" s="15"/>
      <c r="I379" s="15"/>
      <c r="J379" s="15"/>
      <c r="K379" s="15"/>
      <c r="L379" s="38">
        <f t="shared" si="70"/>
        <v>0</v>
      </c>
      <c r="M379" s="4"/>
      <c r="N379" s="38">
        <f t="shared" si="71"/>
        <v>0</v>
      </c>
      <c r="O379" s="38">
        <f t="shared" si="72"/>
        <v>0</v>
      </c>
      <c r="P379" s="4"/>
      <c r="Q379" s="38">
        <f t="shared" si="73"/>
        <v>8129.5600000000559</v>
      </c>
      <c r="R379" s="58"/>
      <c r="S379" s="6"/>
      <c r="T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ht="18" x14ac:dyDescent="0.25">
      <c r="A380" s="36">
        <f t="shared" si="75"/>
        <v>46346</v>
      </c>
      <c r="B380" s="37" t="s">
        <v>26</v>
      </c>
      <c r="C380" s="38">
        <f t="shared" si="74"/>
        <v>8129.5600000000559</v>
      </c>
      <c r="D380" s="24"/>
      <c r="E380" s="24"/>
      <c r="F380" s="24"/>
      <c r="G380" s="24"/>
      <c r="H380" s="15"/>
      <c r="I380" s="15"/>
      <c r="J380" s="15"/>
      <c r="K380" s="15"/>
      <c r="L380" s="38">
        <f t="shared" si="70"/>
        <v>0</v>
      </c>
      <c r="M380" s="4"/>
      <c r="N380" s="38">
        <f t="shared" si="71"/>
        <v>0</v>
      </c>
      <c r="O380" s="38">
        <f t="shared" si="72"/>
        <v>0</v>
      </c>
      <c r="P380" s="4"/>
      <c r="Q380" s="38">
        <f t="shared" si="73"/>
        <v>8129.5600000000559</v>
      </c>
      <c r="R380" s="58"/>
      <c r="S380" s="6"/>
      <c r="T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ht="18" x14ac:dyDescent="0.25">
      <c r="A381" s="36">
        <f t="shared" si="75"/>
        <v>46347</v>
      </c>
      <c r="B381" s="37" t="s">
        <v>21</v>
      </c>
      <c r="C381" s="38">
        <f t="shared" si="74"/>
        <v>8129.5600000000559</v>
      </c>
      <c r="D381" s="24"/>
      <c r="E381" s="24"/>
      <c r="F381" s="24"/>
      <c r="G381" s="24"/>
      <c r="H381" s="15"/>
      <c r="I381" s="15"/>
      <c r="J381" s="15"/>
      <c r="K381" s="15"/>
      <c r="L381" s="38">
        <f t="shared" si="70"/>
        <v>0</v>
      </c>
      <c r="M381" s="4"/>
      <c r="N381" s="38">
        <f t="shared" si="71"/>
        <v>0</v>
      </c>
      <c r="O381" s="38">
        <f t="shared" si="72"/>
        <v>0</v>
      </c>
      <c r="P381" s="4"/>
      <c r="Q381" s="38">
        <f t="shared" si="73"/>
        <v>8129.5600000000559</v>
      </c>
      <c r="R381" s="58"/>
      <c r="S381" s="6"/>
      <c r="T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ht="18" x14ac:dyDescent="0.25">
      <c r="A382" s="36">
        <f t="shared" si="75"/>
        <v>46348</v>
      </c>
      <c r="B382" s="37" t="s">
        <v>22</v>
      </c>
      <c r="C382" s="38">
        <f t="shared" si="74"/>
        <v>8129.5600000000559</v>
      </c>
      <c r="D382" s="24"/>
      <c r="E382" s="24"/>
      <c r="F382" s="24"/>
      <c r="G382" s="24"/>
      <c r="H382" s="15"/>
      <c r="I382" s="15"/>
      <c r="J382" s="15"/>
      <c r="K382" s="15"/>
      <c r="L382" s="38">
        <f t="shared" si="70"/>
        <v>0</v>
      </c>
      <c r="M382" s="4"/>
      <c r="N382" s="38">
        <f t="shared" si="71"/>
        <v>0</v>
      </c>
      <c r="O382" s="38">
        <f t="shared" si="72"/>
        <v>0</v>
      </c>
      <c r="P382" s="4"/>
      <c r="Q382" s="38">
        <f t="shared" si="73"/>
        <v>8129.5600000000559</v>
      </c>
      <c r="R382" s="58"/>
      <c r="S382" s="6"/>
      <c r="T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ht="18" x14ac:dyDescent="0.25">
      <c r="A383" s="36">
        <f t="shared" si="75"/>
        <v>46349</v>
      </c>
      <c r="B383" s="37" t="s">
        <v>16</v>
      </c>
      <c r="C383" s="38">
        <f t="shared" si="74"/>
        <v>8129.5600000000559</v>
      </c>
      <c r="D383" s="24"/>
      <c r="E383" s="24"/>
      <c r="F383" s="24"/>
      <c r="G383" s="24"/>
      <c r="H383" s="15"/>
      <c r="I383" s="15"/>
      <c r="J383" s="15"/>
      <c r="K383" s="15"/>
      <c r="L383" s="38">
        <f t="shared" si="70"/>
        <v>0</v>
      </c>
      <c r="M383" s="4"/>
      <c r="N383" s="38">
        <f t="shared" si="71"/>
        <v>0</v>
      </c>
      <c r="O383" s="38">
        <f t="shared" si="72"/>
        <v>0</v>
      </c>
      <c r="P383" s="4"/>
      <c r="Q383" s="38">
        <f t="shared" si="73"/>
        <v>8129.5600000000559</v>
      </c>
      <c r="R383" s="58"/>
      <c r="S383" s="6"/>
      <c r="T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ht="18" x14ac:dyDescent="0.25">
      <c r="A384" s="36">
        <f t="shared" si="75"/>
        <v>46350</v>
      </c>
      <c r="B384" s="37" t="s">
        <v>17</v>
      </c>
      <c r="C384" s="38">
        <f t="shared" si="74"/>
        <v>8129.5600000000559</v>
      </c>
      <c r="D384" s="66"/>
      <c r="E384" s="24"/>
      <c r="F384" s="24"/>
      <c r="G384" s="24"/>
      <c r="H384" s="15"/>
      <c r="I384" s="15"/>
      <c r="J384" s="15"/>
      <c r="K384" s="15"/>
      <c r="L384" s="38">
        <f t="shared" si="70"/>
        <v>0</v>
      </c>
      <c r="M384" s="4"/>
      <c r="N384" s="38">
        <f t="shared" si="71"/>
        <v>0</v>
      </c>
      <c r="O384" s="38">
        <f t="shared" si="72"/>
        <v>0</v>
      </c>
      <c r="P384" s="4"/>
      <c r="Q384" s="38">
        <f t="shared" si="73"/>
        <v>8129.5600000000559</v>
      </c>
      <c r="R384" s="58"/>
      <c r="S384" s="6"/>
      <c r="T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5" ht="18" x14ac:dyDescent="0.25">
      <c r="A385" s="36">
        <f t="shared" si="75"/>
        <v>46351</v>
      </c>
      <c r="B385" s="37" t="s">
        <v>25</v>
      </c>
      <c r="C385" s="38">
        <f t="shared" si="74"/>
        <v>8129.5600000000559</v>
      </c>
      <c r="D385" s="24"/>
      <c r="E385" s="24"/>
      <c r="F385" s="24"/>
      <c r="G385" s="24"/>
      <c r="H385" s="15"/>
      <c r="I385" s="15"/>
      <c r="J385" s="15"/>
      <c r="K385" s="15"/>
      <c r="L385" s="38">
        <f>SUM(D385:K385)</f>
        <v>0</v>
      </c>
      <c r="M385" s="4"/>
      <c r="N385" s="38">
        <f t="shared" si="71"/>
        <v>0</v>
      </c>
      <c r="O385" s="38">
        <f t="shared" si="72"/>
        <v>0</v>
      </c>
      <c r="P385" s="4"/>
      <c r="Q385" s="38">
        <f t="shared" si="73"/>
        <v>8129.5600000000559</v>
      </c>
      <c r="R385" s="58"/>
      <c r="S385" s="6"/>
      <c r="T385" s="1"/>
    </row>
    <row r="386" spans="1:55" ht="18" x14ac:dyDescent="0.25">
      <c r="A386" s="36">
        <f t="shared" si="75"/>
        <v>46352</v>
      </c>
      <c r="B386" s="37" t="s">
        <v>19</v>
      </c>
      <c r="C386" s="38">
        <f t="shared" si="74"/>
        <v>8129.5600000000559</v>
      </c>
      <c r="D386" s="24"/>
      <c r="E386" s="24"/>
      <c r="F386" s="24"/>
      <c r="G386" s="24"/>
      <c r="H386" s="15"/>
      <c r="I386" s="15"/>
      <c r="J386" s="15"/>
      <c r="K386" s="15"/>
      <c r="L386" s="38">
        <f t="shared" si="70"/>
        <v>0</v>
      </c>
      <c r="M386" s="4"/>
      <c r="N386" s="38">
        <f t="shared" si="71"/>
        <v>0</v>
      </c>
      <c r="O386" s="38">
        <f t="shared" si="72"/>
        <v>0</v>
      </c>
      <c r="P386" s="4"/>
      <c r="Q386" s="38">
        <f t="shared" si="73"/>
        <v>8129.5600000000559</v>
      </c>
      <c r="R386" s="58"/>
      <c r="S386" s="6"/>
      <c r="T386" s="1"/>
    </row>
    <row r="387" spans="1:55" ht="18" x14ac:dyDescent="0.25">
      <c r="A387" s="36">
        <f t="shared" si="75"/>
        <v>46353</v>
      </c>
      <c r="B387" s="37" t="s">
        <v>26</v>
      </c>
      <c r="C387" s="38">
        <f t="shared" si="74"/>
        <v>8129.5600000000559</v>
      </c>
      <c r="D387" s="24"/>
      <c r="E387" s="24"/>
      <c r="F387" s="24"/>
      <c r="G387" s="24"/>
      <c r="H387" s="15"/>
      <c r="I387" s="15"/>
      <c r="J387" s="15"/>
      <c r="K387" s="15"/>
      <c r="L387" s="38">
        <f t="shared" si="70"/>
        <v>0</v>
      </c>
      <c r="M387" s="4"/>
      <c r="N387" s="38">
        <f t="shared" si="71"/>
        <v>0</v>
      </c>
      <c r="O387" s="38">
        <f t="shared" si="72"/>
        <v>0</v>
      </c>
      <c r="P387" s="4"/>
      <c r="Q387" s="38">
        <f t="shared" si="73"/>
        <v>8129.5600000000559</v>
      </c>
      <c r="R387" s="58"/>
      <c r="S387" s="6"/>
      <c r="T387" s="1"/>
    </row>
    <row r="388" spans="1:55" ht="18" x14ac:dyDescent="0.25">
      <c r="A388" s="36">
        <f t="shared" si="75"/>
        <v>46354</v>
      </c>
      <c r="B388" s="37" t="s">
        <v>21</v>
      </c>
      <c r="C388" s="38">
        <f t="shared" si="74"/>
        <v>8129.5600000000559</v>
      </c>
      <c r="D388" s="24"/>
      <c r="E388" s="24"/>
      <c r="F388" s="24"/>
      <c r="G388" s="24"/>
      <c r="H388" s="24"/>
      <c r="I388" s="15"/>
      <c r="J388" s="15"/>
      <c r="K388" s="15"/>
      <c r="L388" s="38">
        <f t="shared" si="70"/>
        <v>0</v>
      </c>
      <c r="M388" s="4"/>
      <c r="N388" s="38">
        <f t="shared" si="71"/>
        <v>0</v>
      </c>
      <c r="O388" s="38">
        <f t="shared" si="72"/>
        <v>0</v>
      </c>
      <c r="P388" s="4"/>
      <c r="Q388" s="38">
        <f t="shared" si="73"/>
        <v>8129.5600000000559</v>
      </c>
      <c r="R388" s="58"/>
      <c r="S388" s="6"/>
      <c r="T388" s="1"/>
    </row>
    <row r="389" spans="1:55" ht="18" x14ac:dyDescent="0.25">
      <c r="A389" s="36">
        <f t="shared" si="75"/>
        <v>46355</v>
      </c>
      <c r="B389" s="37" t="s">
        <v>23</v>
      </c>
      <c r="C389" s="38">
        <f t="shared" si="74"/>
        <v>8129.5600000000559</v>
      </c>
      <c r="D389" s="24"/>
      <c r="E389" s="24"/>
      <c r="F389" s="24"/>
      <c r="G389" s="24"/>
      <c r="H389" s="24"/>
      <c r="I389" s="15"/>
      <c r="J389" s="15"/>
      <c r="K389" s="15"/>
      <c r="L389" s="38">
        <f t="shared" si="70"/>
        <v>0</v>
      </c>
      <c r="M389" s="4"/>
      <c r="N389" s="38">
        <f t="shared" si="71"/>
        <v>0</v>
      </c>
      <c r="O389" s="38">
        <f t="shared" si="72"/>
        <v>0</v>
      </c>
      <c r="P389" s="4"/>
      <c r="Q389" s="38">
        <f t="shared" si="73"/>
        <v>8129.5600000000559</v>
      </c>
      <c r="R389" s="58"/>
      <c r="S389" s="6"/>
      <c r="T389" s="1"/>
    </row>
    <row r="390" spans="1:55" ht="18.75" thickBot="1" x14ac:dyDescent="0.3">
      <c r="A390" s="49">
        <f t="shared" si="75"/>
        <v>46356</v>
      </c>
      <c r="B390" s="75" t="s">
        <v>24</v>
      </c>
      <c r="C390" s="40">
        <f t="shared" si="74"/>
        <v>8129.5600000000559</v>
      </c>
      <c r="D390" s="27"/>
      <c r="E390" s="27"/>
      <c r="F390" s="27"/>
      <c r="G390" s="27"/>
      <c r="H390" s="27"/>
      <c r="I390" s="16"/>
      <c r="J390" s="16"/>
      <c r="K390" s="16"/>
      <c r="L390" s="40">
        <f t="shared" si="70"/>
        <v>0</v>
      </c>
      <c r="M390" s="11"/>
      <c r="N390" s="40">
        <f t="shared" si="71"/>
        <v>0</v>
      </c>
      <c r="O390" s="40">
        <f t="shared" si="72"/>
        <v>0</v>
      </c>
      <c r="P390" s="11"/>
      <c r="Q390" s="40">
        <f t="shared" si="73"/>
        <v>8129.5600000000559</v>
      </c>
      <c r="R390" s="60"/>
      <c r="S390" s="12"/>
      <c r="T390" s="1"/>
      <c r="BB390" s="29"/>
      <c r="BC390" s="29"/>
    </row>
    <row r="391" spans="1:55" ht="19.5" thickTop="1" thickBot="1" x14ac:dyDescent="0.3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1"/>
      <c r="U391" s="7"/>
    </row>
    <row r="392" spans="1:55" ht="19.5" thickTop="1" thickBot="1" x14ac:dyDescent="0.3">
      <c r="A392" s="84"/>
      <c r="B392" s="85"/>
      <c r="C392" s="86"/>
      <c r="D392" s="13">
        <f t="shared" ref="D392:P392" si="76">SUM(D360:D390)</f>
        <v>0</v>
      </c>
      <c r="E392" s="13">
        <f t="shared" si="76"/>
        <v>0</v>
      </c>
      <c r="F392" s="13">
        <f t="shared" si="76"/>
        <v>0</v>
      </c>
      <c r="G392" s="13">
        <f t="shared" si="76"/>
        <v>0</v>
      </c>
      <c r="H392" s="13">
        <f t="shared" si="76"/>
        <v>0</v>
      </c>
      <c r="I392" s="13">
        <f t="shared" si="76"/>
        <v>0</v>
      </c>
      <c r="J392" s="13">
        <f t="shared" si="76"/>
        <v>0</v>
      </c>
      <c r="K392" s="13">
        <f t="shared" si="76"/>
        <v>0</v>
      </c>
      <c r="L392" s="63">
        <f t="shared" si="76"/>
        <v>0</v>
      </c>
      <c r="M392" s="13">
        <f t="shared" si="76"/>
        <v>0</v>
      </c>
      <c r="N392" s="63">
        <f t="shared" si="76"/>
        <v>0</v>
      </c>
      <c r="O392" s="63">
        <f t="shared" si="76"/>
        <v>0</v>
      </c>
      <c r="P392" s="13">
        <f t="shared" si="76"/>
        <v>0</v>
      </c>
      <c r="Q392" s="63">
        <f>C361+C392+L392+-M392-N392-O392-P392</f>
        <v>8129.5600000000559</v>
      </c>
      <c r="R392" s="63"/>
      <c r="S392" s="14"/>
      <c r="U392" s="7"/>
    </row>
    <row r="393" spans="1:55" ht="19.5" thickTop="1" thickBot="1" x14ac:dyDescent="0.3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1"/>
      <c r="U393" s="7"/>
    </row>
    <row r="394" spans="1:55" ht="20.25" customHeight="1" thickTop="1" thickBot="1" x14ac:dyDescent="0.3">
      <c r="A394" s="94" t="s">
        <v>0</v>
      </c>
      <c r="B394" s="96" t="s">
        <v>1</v>
      </c>
      <c r="C394" s="98" t="s">
        <v>2</v>
      </c>
      <c r="D394" s="80" t="s">
        <v>3</v>
      </c>
      <c r="E394" s="100" t="s">
        <v>4</v>
      </c>
      <c r="F394" s="101"/>
      <c r="G394" s="101"/>
      <c r="H394" s="101"/>
      <c r="I394" s="101"/>
      <c r="J394" s="101"/>
      <c r="K394" s="102"/>
      <c r="L394" s="80" t="s">
        <v>5</v>
      </c>
      <c r="M394" s="80" t="s">
        <v>6</v>
      </c>
      <c r="N394" s="80" t="s">
        <v>7</v>
      </c>
      <c r="O394" s="80" t="s">
        <v>8</v>
      </c>
      <c r="P394" s="80" t="s">
        <v>9</v>
      </c>
      <c r="Q394" s="82" t="s">
        <v>10</v>
      </c>
      <c r="R394" s="82" t="s">
        <v>34</v>
      </c>
      <c r="S394" s="82" t="s">
        <v>11</v>
      </c>
    </row>
    <row r="395" spans="1:55" ht="19.5" thickTop="1" thickBot="1" x14ac:dyDescent="0.3">
      <c r="A395" s="95"/>
      <c r="B395" s="97"/>
      <c r="C395" s="99"/>
      <c r="D395" s="81"/>
      <c r="E395" s="41" t="s">
        <v>12</v>
      </c>
      <c r="F395" s="42" t="s">
        <v>13</v>
      </c>
      <c r="G395" s="41" t="s">
        <v>14</v>
      </c>
      <c r="H395" s="41" t="s">
        <v>15</v>
      </c>
      <c r="I395" s="41" t="s">
        <v>45</v>
      </c>
      <c r="J395" s="42" t="s">
        <v>44</v>
      </c>
      <c r="K395" s="42" t="s">
        <v>46</v>
      </c>
      <c r="L395" s="81"/>
      <c r="M395" s="81"/>
      <c r="N395" s="81"/>
      <c r="O395" s="81"/>
      <c r="P395" s="81"/>
      <c r="Q395" s="83"/>
      <c r="R395" s="83"/>
      <c r="S395" s="83"/>
    </row>
    <row r="396" spans="1:55" ht="18.75" thickTop="1" x14ac:dyDescent="0.25">
      <c r="A396" s="36">
        <f>A390+1</f>
        <v>46357</v>
      </c>
      <c r="B396" s="37" t="s">
        <v>17</v>
      </c>
      <c r="C396" s="38">
        <f>SUM(Q390)</f>
        <v>8129.5600000000559</v>
      </c>
      <c r="D396" s="30"/>
      <c r="E396" s="30"/>
      <c r="F396" s="30"/>
      <c r="G396" s="30"/>
      <c r="H396" s="30"/>
      <c r="I396" s="30"/>
      <c r="J396" s="30"/>
      <c r="K396" s="30"/>
      <c r="L396" s="38">
        <f>SUM(D396:K396)</f>
        <v>0</v>
      </c>
      <c r="M396" s="4"/>
      <c r="N396" s="38">
        <f t="shared" ref="N396:N426" si="77">SUM(E396+F396+G396+H396)</f>
        <v>0</v>
      </c>
      <c r="O396" s="38">
        <f>I396+K396+J396</f>
        <v>0</v>
      </c>
      <c r="P396" s="4"/>
      <c r="Q396" s="38">
        <f t="shared" ref="Q396:Q426" si="78">C396+L396+-M396-N396-O396-P396</f>
        <v>8129.5600000000559</v>
      </c>
      <c r="R396" s="58"/>
      <c r="S396" s="6"/>
      <c r="T396" s="1"/>
    </row>
    <row r="397" spans="1:55" ht="18" x14ac:dyDescent="0.25">
      <c r="A397" s="36">
        <f>A396+1</f>
        <v>46358</v>
      </c>
      <c r="B397" s="37" t="s">
        <v>18</v>
      </c>
      <c r="C397" s="38">
        <f t="shared" ref="C397:C426" si="79">Q396</f>
        <v>8129.5600000000559</v>
      </c>
      <c r="D397" s="30"/>
      <c r="E397" s="30"/>
      <c r="F397" s="30"/>
      <c r="G397" s="30"/>
      <c r="H397" s="30"/>
      <c r="I397" s="30"/>
      <c r="J397" s="30"/>
      <c r="K397" s="30"/>
      <c r="L397" s="38">
        <f t="shared" ref="L397:L426" si="80">SUM(D397:K397)</f>
        <v>0</v>
      </c>
      <c r="M397" s="4"/>
      <c r="N397" s="38">
        <f t="shared" si="77"/>
        <v>0</v>
      </c>
      <c r="O397" s="38">
        <f t="shared" ref="O397:O426" si="81">I397+K397+J397</f>
        <v>0</v>
      </c>
      <c r="P397" s="4"/>
      <c r="Q397" s="38">
        <f t="shared" si="78"/>
        <v>8129.5600000000559</v>
      </c>
      <c r="R397" s="58"/>
      <c r="S397" s="6"/>
      <c r="T397" s="1"/>
    </row>
    <row r="398" spans="1:55" ht="18" x14ac:dyDescent="0.25">
      <c r="A398" s="36">
        <f t="shared" ref="A398:A426" si="82">A397+1</f>
        <v>46359</v>
      </c>
      <c r="B398" s="37" t="s">
        <v>19</v>
      </c>
      <c r="C398" s="38">
        <f t="shared" si="79"/>
        <v>8129.5600000000559</v>
      </c>
      <c r="D398" s="30"/>
      <c r="E398" s="30"/>
      <c r="F398" s="30"/>
      <c r="G398" s="30"/>
      <c r="H398" s="30"/>
      <c r="I398" s="30"/>
      <c r="J398" s="30"/>
      <c r="K398" s="30"/>
      <c r="L398" s="38">
        <f t="shared" si="80"/>
        <v>0</v>
      </c>
      <c r="M398" s="4"/>
      <c r="N398" s="38">
        <f t="shared" si="77"/>
        <v>0</v>
      </c>
      <c r="O398" s="38">
        <f t="shared" si="81"/>
        <v>0</v>
      </c>
      <c r="P398" s="4"/>
      <c r="Q398" s="38">
        <f t="shared" si="78"/>
        <v>8129.5600000000559</v>
      </c>
      <c r="R398" s="58"/>
      <c r="S398" s="6"/>
      <c r="T398" s="1"/>
    </row>
    <row r="399" spans="1:55" ht="18" x14ac:dyDescent="0.25">
      <c r="A399" s="36">
        <f t="shared" si="82"/>
        <v>46360</v>
      </c>
      <c r="B399" s="37" t="s">
        <v>20</v>
      </c>
      <c r="C399" s="38">
        <f t="shared" si="79"/>
        <v>8129.5600000000559</v>
      </c>
      <c r="D399" s="30"/>
      <c r="E399" s="30"/>
      <c r="F399" s="30"/>
      <c r="G399" s="30"/>
      <c r="H399" s="30"/>
      <c r="I399" s="30"/>
      <c r="J399" s="30"/>
      <c r="K399" s="30"/>
      <c r="L399" s="38">
        <f t="shared" si="80"/>
        <v>0</v>
      </c>
      <c r="M399" s="4"/>
      <c r="N399" s="38">
        <f t="shared" si="77"/>
        <v>0</v>
      </c>
      <c r="O399" s="38">
        <f t="shared" si="81"/>
        <v>0</v>
      </c>
      <c r="P399" s="4"/>
      <c r="Q399" s="38">
        <f t="shared" si="78"/>
        <v>8129.5600000000559</v>
      </c>
      <c r="R399" s="58"/>
      <c r="S399" s="6"/>
      <c r="T399" s="1"/>
    </row>
    <row r="400" spans="1:55" ht="18" x14ac:dyDescent="0.25">
      <c r="A400" s="36">
        <f t="shared" si="82"/>
        <v>46361</v>
      </c>
      <c r="B400" s="37" t="s">
        <v>21</v>
      </c>
      <c r="C400" s="38">
        <f t="shared" si="79"/>
        <v>8129.5600000000559</v>
      </c>
      <c r="D400" s="30"/>
      <c r="E400" s="30"/>
      <c r="F400" s="30"/>
      <c r="G400" s="30"/>
      <c r="H400" s="30"/>
      <c r="I400" s="30"/>
      <c r="J400" s="30"/>
      <c r="K400" s="30"/>
      <c r="L400" s="38">
        <f t="shared" si="80"/>
        <v>0</v>
      </c>
      <c r="M400" s="4"/>
      <c r="N400" s="38">
        <f t="shared" si="77"/>
        <v>0</v>
      </c>
      <c r="O400" s="38">
        <f t="shared" si="81"/>
        <v>0</v>
      </c>
      <c r="P400" s="4"/>
      <c r="Q400" s="38">
        <f t="shared" si="78"/>
        <v>8129.5600000000559</v>
      </c>
      <c r="R400" s="58"/>
      <c r="S400" s="6"/>
      <c r="T400" s="1"/>
    </row>
    <row r="401" spans="1:53" ht="18" x14ac:dyDescent="0.25">
      <c r="A401" s="36">
        <f t="shared" si="82"/>
        <v>46362</v>
      </c>
      <c r="B401" s="37" t="s">
        <v>22</v>
      </c>
      <c r="C401" s="38">
        <f t="shared" si="79"/>
        <v>8129.5600000000559</v>
      </c>
      <c r="D401" s="30"/>
      <c r="E401" s="30"/>
      <c r="F401" s="30"/>
      <c r="G401" s="30"/>
      <c r="H401" s="30"/>
      <c r="I401" s="30"/>
      <c r="J401" s="30"/>
      <c r="K401" s="30"/>
      <c r="L401" s="38">
        <f t="shared" si="80"/>
        <v>0</v>
      </c>
      <c r="M401" s="4"/>
      <c r="N401" s="38">
        <f t="shared" si="77"/>
        <v>0</v>
      </c>
      <c r="O401" s="38">
        <f t="shared" si="81"/>
        <v>0</v>
      </c>
      <c r="P401" s="4"/>
      <c r="Q401" s="38">
        <f t="shared" si="78"/>
        <v>8129.5600000000559</v>
      </c>
      <c r="R401" s="58"/>
      <c r="S401" s="6"/>
      <c r="T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ht="18" x14ac:dyDescent="0.25">
      <c r="A402" s="36">
        <f t="shared" si="82"/>
        <v>46363</v>
      </c>
      <c r="B402" s="37" t="s">
        <v>16</v>
      </c>
      <c r="C402" s="38">
        <f t="shared" si="79"/>
        <v>8129.5600000000559</v>
      </c>
      <c r="D402" s="30"/>
      <c r="E402" s="30"/>
      <c r="F402" s="30"/>
      <c r="G402" s="30"/>
      <c r="H402" s="30"/>
      <c r="I402" s="30"/>
      <c r="J402" s="30"/>
      <c r="K402" s="30"/>
      <c r="L402" s="38">
        <f t="shared" si="80"/>
        <v>0</v>
      </c>
      <c r="M402" s="4"/>
      <c r="N402" s="38">
        <f t="shared" si="77"/>
        <v>0</v>
      </c>
      <c r="O402" s="38">
        <f t="shared" si="81"/>
        <v>0</v>
      </c>
      <c r="P402" s="4"/>
      <c r="Q402" s="38">
        <f t="shared" si="78"/>
        <v>8129.5600000000559</v>
      </c>
      <c r="R402" s="58"/>
      <c r="S402" s="6"/>
      <c r="T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ht="18" x14ac:dyDescent="0.25">
      <c r="A403" s="36">
        <f t="shared" si="82"/>
        <v>46364</v>
      </c>
      <c r="B403" s="37" t="s">
        <v>17</v>
      </c>
      <c r="C403" s="38">
        <f t="shared" si="79"/>
        <v>8129.5600000000559</v>
      </c>
      <c r="D403" s="30"/>
      <c r="E403" s="30"/>
      <c r="F403" s="30"/>
      <c r="G403" s="30"/>
      <c r="H403" s="30"/>
      <c r="I403" s="30"/>
      <c r="J403" s="30"/>
      <c r="K403" s="30"/>
      <c r="L403" s="38">
        <f t="shared" si="80"/>
        <v>0</v>
      </c>
      <c r="M403" s="4"/>
      <c r="N403" s="38">
        <f t="shared" si="77"/>
        <v>0</v>
      </c>
      <c r="O403" s="38">
        <f t="shared" si="81"/>
        <v>0</v>
      </c>
      <c r="P403" s="4"/>
      <c r="Q403" s="38">
        <f t="shared" si="78"/>
        <v>8129.5600000000559</v>
      </c>
      <c r="R403" s="58"/>
      <c r="S403" s="6"/>
      <c r="T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ht="18" x14ac:dyDescent="0.25">
      <c r="A404" s="36">
        <f t="shared" si="82"/>
        <v>46365</v>
      </c>
      <c r="B404" s="37" t="s">
        <v>18</v>
      </c>
      <c r="C404" s="38">
        <f t="shared" si="79"/>
        <v>8129.5600000000559</v>
      </c>
      <c r="D404" s="30"/>
      <c r="E404" s="30"/>
      <c r="F404" s="30"/>
      <c r="G404" s="30"/>
      <c r="H404" s="30"/>
      <c r="I404" s="30"/>
      <c r="J404" s="30"/>
      <c r="K404" s="30"/>
      <c r="L404" s="38">
        <f t="shared" si="80"/>
        <v>0</v>
      </c>
      <c r="M404" s="4"/>
      <c r="N404" s="38">
        <f t="shared" si="77"/>
        <v>0</v>
      </c>
      <c r="O404" s="38">
        <f t="shared" si="81"/>
        <v>0</v>
      </c>
      <c r="P404" s="4"/>
      <c r="Q404" s="38">
        <f t="shared" si="78"/>
        <v>8129.5600000000559</v>
      </c>
      <c r="R404" s="58"/>
      <c r="S404" s="6"/>
      <c r="T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ht="18" x14ac:dyDescent="0.25">
      <c r="A405" s="36">
        <f t="shared" si="82"/>
        <v>46366</v>
      </c>
      <c r="B405" s="37" t="s">
        <v>19</v>
      </c>
      <c r="C405" s="38">
        <f t="shared" si="79"/>
        <v>8129.5600000000559</v>
      </c>
      <c r="D405" s="30"/>
      <c r="E405" s="30"/>
      <c r="F405" s="30"/>
      <c r="G405" s="30"/>
      <c r="H405" s="30"/>
      <c r="I405" s="30"/>
      <c r="J405" s="30"/>
      <c r="K405" s="30"/>
      <c r="L405" s="38">
        <f t="shared" si="80"/>
        <v>0</v>
      </c>
      <c r="M405" s="4"/>
      <c r="N405" s="38">
        <f t="shared" si="77"/>
        <v>0</v>
      </c>
      <c r="O405" s="38">
        <f t="shared" si="81"/>
        <v>0</v>
      </c>
      <c r="P405" s="4"/>
      <c r="Q405" s="38">
        <f t="shared" si="78"/>
        <v>8129.5600000000559</v>
      </c>
      <c r="R405" s="58"/>
      <c r="S405" s="6"/>
      <c r="T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ht="18" x14ac:dyDescent="0.25">
      <c r="A406" s="36">
        <f t="shared" si="82"/>
        <v>46367</v>
      </c>
      <c r="B406" s="37" t="s">
        <v>20</v>
      </c>
      <c r="C406" s="38">
        <f t="shared" si="79"/>
        <v>8129.5600000000559</v>
      </c>
      <c r="D406" s="30"/>
      <c r="E406" s="30"/>
      <c r="F406" s="30"/>
      <c r="G406" s="30"/>
      <c r="H406" s="30"/>
      <c r="I406" s="30"/>
      <c r="J406" s="30"/>
      <c r="K406" s="30"/>
      <c r="L406" s="38">
        <f t="shared" si="80"/>
        <v>0</v>
      </c>
      <c r="M406" s="4"/>
      <c r="N406" s="38">
        <f t="shared" si="77"/>
        <v>0</v>
      </c>
      <c r="O406" s="38">
        <f t="shared" si="81"/>
        <v>0</v>
      </c>
      <c r="P406" s="4"/>
      <c r="Q406" s="38">
        <f t="shared" si="78"/>
        <v>8129.5600000000559</v>
      </c>
      <c r="R406" s="58"/>
      <c r="S406" s="6"/>
      <c r="T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ht="18" x14ac:dyDescent="0.25">
      <c r="A407" s="36">
        <f t="shared" si="82"/>
        <v>46368</v>
      </c>
      <c r="B407" s="37" t="s">
        <v>21</v>
      </c>
      <c r="C407" s="38">
        <f t="shared" si="79"/>
        <v>8129.5600000000559</v>
      </c>
      <c r="D407" s="30"/>
      <c r="E407" s="30"/>
      <c r="F407" s="30"/>
      <c r="G407" s="30"/>
      <c r="H407" s="30"/>
      <c r="I407" s="30"/>
      <c r="J407" s="30"/>
      <c r="K407" s="30"/>
      <c r="L407" s="38">
        <f t="shared" si="80"/>
        <v>0</v>
      </c>
      <c r="M407" s="4"/>
      <c r="N407" s="38">
        <f t="shared" si="77"/>
        <v>0</v>
      </c>
      <c r="O407" s="38">
        <f t="shared" si="81"/>
        <v>0</v>
      </c>
      <c r="P407" s="4"/>
      <c r="Q407" s="38">
        <f t="shared" si="78"/>
        <v>8129.5600000000559</v>
      </c>
      <c r="R407" s="58"/>
      <c r="S407" s="6"/>
      <c r="T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ht="18" x14ac:dyDescent="0.25">
      <c r="A408" s="36">
        <f t="shared" si="82"/>
        <v>46369</v>
      </c>
      <c r="B408" s="37" t="s">
        <v>22</v>
      </c>
      <c r="C408" s="38">
        <f t="shared" si="79"/>
        <v>8129.5600000000559</v>
      </c>
      <c r="D408" s="30"/>
      <c r="E408" s="30"/>
      <c r="F408" s="30"/>
      <c r="G408" s="30"/>
      <c r="H408" s="30"/>
      <c r="I408" s="30"/>
      <c r="J408" s="30"/>
      <c r="K408" s="30"/>
      <c r="L408" s="38">
        <f t="shared" si="80"/>
        <v>0</v>
      </c>
      <c r="M408" s="4"/>
      <c r="N408" s="38">
        <f t="shared" si="77"/>
        <v>0</v>
      </c>
      <c r="O408" s="38">
        <f t="shared" si="81"/>
        <v>0</v>
      </c>
      <c r="P408" s="4"/>
      <c r="Q408" s="38">
        <f t="shared" si="78"/>
        <v>8129.5600000000559</v>
      </c>
      <c r="R408" s="58"/>
      <c r="S408" s="6"/>
      <c r="T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ht="18" x14ac:dyDescent="0.25">
      <c r="A409" s="36">
        <f t="shared" si="82"/>
        <v>46370</v>
      </c>
      <c r="B409" s="37" t="s">
        <v>16</v>
      </c>
      <c r="C409" s="38">
        <f t="shared" si="79"/>
        <v>8129.5600000000559</v>
      </c>
      <c r="D409" s="30"/>
      <c r="E409" s="30"/>
      <c r="F409" s="30"/>
      <c r="G409" s="30"/>
      <c r="H409" s="30"/>
      <c r="I409" s="30"/>
      <c r="J409" s="30"/>
      <c r="K409" s="30"/>
      <c r="L409" s="38">
        <f t="shared" si="80"/>
        <v>0</v>
      </c>
      <c r="M409" s="4"/>
      <c r="N409" s="38">
        <f t="shared" si="77"/>
        <v>0</v>
      </c>
      <c r="O409" s="38">
        <f t="shared" si="81"/>
        <v>0</v>
      </c>
      <c r="P409" s="4"/>
      <c r="Q409" s="38">
        <f t="shared" si="78"/>
        <v>8129.5600000000559</v>
      </c>
      <c r="R409" s="58"/>
      <c r="S409" s="6"/>
      <c r="T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ht="18" x14ac:dyDescent="0.25">
      <c r="A410" s="36">
        <f t="shared" si="82"/>
        <v>46371</v>
      </c>
      <c r="B410" s="37" t="s">
        <v>17</v>
      </c>
      <c r="C410" s="38">
        <f t="shared" si="79"/>
        <v>8129.5600000000559</v>
      </c>
      <c r="D410" s="30"/>
      <c r="E410" s="30"/>
      <c r="F410" s="30"/>
      <c r="G410" s="30"/>
      <c r="H410" s="30"/>
      <c r="I410" s="30"/>
      <c r="J410" s="30"/>
      <c r="K410" s="30"/>
      <c r="L410" s="38">
        <f t="shared" si="80"/>
        <v>0</v>
      </c>
      <c r="M410" s="4"/>
      <c r="N410" s="38">
        <f t="shared" si="77"/>
        <v>0</v>
      </c>
      <c r="O410" s="38">
        <f t="shared" si="81"/>
        <v>0</v>
      </c>
      <c r="P410" s="4"/>
      <c r="Q410" s="38">
        <f t="shared" si="78"/>
        <v>8129.5600000000559</v>
      </c>
      <c r="R410" s="58"/>
      <c r="S410" s="6"/>
      <c r="T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ht="18" x14ac:dyDescent="0.25">
      <c r="A411" s="36">
        <f t="shared" si="82"/>
        <v>46372</v>
      </c>
      <c r="B411" s="37" t="s">
        <v>18</v>
      </c>
      <c r="C411" s="38">
        <f t="shared" si="79"/>
        <v>8129.5600000000559</v>
      </c>
      <c r="D411" s="30"/>
      <c r="E411" s="30"/>
      <c r="F411" s="30"/>
      <c r="G411" s="30"/>
      <c r="H411" s="30"/>
      <c r="I411" s="30"/>
      <c r="J411" s="30"/>
      <c r="K411" s="30"/>
      <c r="L411" s="38">
        <f t="shared" si="80"/>
        <v>0</v>
      </c>
      <c r="M411" s="4"/>
      <c r="N411" s="38">
        <f t="shared" si="77"/>
        <v>0</v>
      </c>
      <c r="O411" s="38">
        <f t="shared" si="81"/>
        <v>0</v>
      </c>
      <c r="P411" s="4"/>
      <c r="Q411" s="38">
        <f t="shared" si="78"/>
        <v>8129.5600000000559</v>
      </c>
      <c r="R411" s="58"/>
      <c r="S411" s="6"/>
      <c r="T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ht="18" x14ac:dyDescent="0.25">
      <c r="A412" s="36">
        <f t="shared" si="82"/>
        <v>46373</v>
      </c>
      <c r="B412" s="37" t="s">
        <v>19</v>
      </c>
      <c r="C412" s="38">
        <f t="shared" si="79"/>
        <v>8129.5600000000559</v>
      </c>
      <c r="D412" s="30"/>
      <c r="E412" s="30"/>
      <c r="F412" s="30"/>
      <c r="G412" s="30"/>
      <c r="H412" s="30"/>
      <c r="I412" s="30"/>
      <c r="J412" s="30"/>
      <c r="K412" s="30"/>
      <c r="L412" s="38">
        <f t="shared" si="80"/>
        <v>0</v>
      </c>
      <c r="M412" s="4"/>
      <c r="N412" s="38">
        <f t="shared" si="77"/>
        <v>0</v>
      </c>
      <c r="O412" s="38">
        <f t="shared" si="81"/>
        <v>0</v>
      </c>
      <c r="P412" s="4"/>
      <c r="Q412" s="38">
        <f t="shared" si="78"/>
        <v>8129.5600000000559</v>
      </c>
      <c r="R412" s="58"/>
      <c r="S412" s="6"/>
      <c r="T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ht="18" x14ac:dyDescent="0.25">
      <c r="A413" s="36">
        <f t="shared" si="82"/>
        <v>46374</v>
      </c>
      <c r="B413" s="37" t="s">
        <v>20</v>
      </c>
      <c r="C413" s="38">
        <f t="shared" si="79"/>
        <v>8129.5600000000559</v>
      </c>
      <c r="D413" s="30"/>
      <c r="E413" s="30"/>
      <c r="F413" s="30"/>
      <c r="G413" s="30"/>
      <c r="H413" s="30"/>
      <c r="I413" s="30"/>
      <c r="J413" s="30"/>
      <c r="K413" s="30"/>
      <c r="L413" s="38">
        <f t="shared" si="80"/>
        <v>0</v>
      </c>
      <c r="M413" s="4"/>
      <c r="N413" s="38">
        <f t="shared" si="77"/>
        <v>0</v>
      </c>
      <c r="O413" s="38">
        <f t="shared" si="81"/>
        <v>0</v>
      </c>
      <c r="P413" s="4"/>
      <c r="Q413" s="38">
        <f t="shared" si="78"/>
        <v>8129.5600000000559</v>
      </c>
      <c r="R413" s="58"/>
      <c r="S413" s="6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ht="18" x14ac:dyDescent="0.25">
      <c r="A414" s="36">
        <f t="shared" si="82"/>
        <v>46375</v>
      </c>
      <c r="B414" s="37" t="s">
        <v>21</v>
      </c>
      <c r="C414" s="38">
        <f t="shared" si="79"/>
        <v>8129.5600000000559</v>
      </c>
      <c r="D414" s="30"/>
      <c r="E414" s="30"/>
      <c r="F414" s="30"/>
      <c r="G414" s="30"/>
      <c r="H414" s="30"/>
      <c r="I414" s="30"/>
      <c r="J414" s="30"/>
      <c r="K414" s="30"/>
      <c r="L414" s="38">
        <f t="shared" si="80"/>
        <v>0</v>
      </c>
      <c r="M414" s="4"/>
      <c r="N414" s="38">
        <f t="shared" si="77"/>
        <v>0</v>
      </c>
      <c r="O414" s="38">
        <f t="shared" si="81"/>
        <v>0</v>
      </c>
      <c r="P414" s="4"/>
      <c r="Q414" s="38">
        <f t="shared" si="78"/>
        <v>8129.5600000000559</v>
      </c>
      <c r="R414" s="58"/>
      <c r="S414" s="6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ht="18" x14ac:dyDescent="0.25">
      <c r="A415" s="36">
        <f t="shared" si="82"/>
        <v>46376</v>
      </c>
      <c r="B415" s="37" t="s">
        <v>23</v>
      </c>
      <c r="C415" s="38">
        <f t="shared" si="79"/>
        <v>8129.5600000000559</v>
      </c>
      <c r="D415" s="30"/>
      <c r="E415" s="30"/>
      <c r="F415" s="30"/>
      <c r="G415" s="30"/>
      <c r="H415" s="30"/>
      <c r="I415" s="30"/>
      <c r="J415" s="30"/>
      <c r="K415" s="30"/>
      <c r="L415" s="38">
        <f t="shared" si="80"/>
        <v>0</v>
      </c>
      <c r="M415" s="4"/>
      <c r="N415" s="38">
        <f t="shared" si="77"/>
        <v>0</v>
      </c>
      <c r="O415" s="38">
        <f t="shared" si="81"/>
        <v>0</v>
      </c>
      <c r="P415" s="4"/>
      <c r="Q415" s="38">
        <f t="shared" si="78"/>
        <v>8129.5600000000559</v>
      </c>
      <c r="R415" s="58"/>
      <c r="S415" s="6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ht="18" x14ac:dyDescent="0.25">
      <c r="A416" s="36">
        <f t="shared" si="82"/>
        <v>46377</v>
      </c>
      <c r="B416" s="37" t="s">
        <v>24</v>
      </c>
      <c r="C416" s="38">
        <f t="shared" si="79"/>
        <v>8129.5600000000559</v>
      </c>
      <c r="D416" s="30"/>
      <c r="E416" s="30"/>
      <c r="F416" s="30"/>
      <c r="G416" s="30"/>
      <c r="H416" s="30"/>
      <c r="I416" s="30"/>
      <c r="J416" s="30"/>
      <c r="K416" s="30"/>
      <c r="L416" s="38">
        <f t="shared" si="80"/>
        <v>0</v>
      </c>
      <c r="M416" s="4"/>
      <c r="N416" s="38">
        <f t="shared" si="77"/>
        <v>0</v>
      </c>
      <c r="O416" s="38">
        <f t="shared" si="81"/>
        <v>0</v>
      </c>
      <c r="P416" s="4"/>
      <c r="Q416" s="38">
        <f t="shared" si="78"/>
        <v>8129.5600000000559</v>
      </c>
      <c r="R416" s="58"/>
      <c r="S416" s="6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ht="18" x14ac:dyDescent="0.25">
      <c r="A417" s="36">
        <f t="shared" si="82"/>
        <v>46378</v>
      </c>
      <c r="B417" s="37" t="s">
        <v>17</v>
      </c>
      <c r="C417" s="38">
        <f t="shared" si="79"/>
        <v>8129.5600000000559</v>
      </c>
      <c r="D417" s="30"/>
      <c r="E417" s="30"/>
      <c r="F417" s="30"/>
      <c r="G417" s="30"/>
      <c r="H417" s="30"/>
      <c r="I417" s="30"/>
      <c r="J417" s="30"/>
      <c r="K417" s="30"/>
      <c r="L417" s="38">
        <f t="shared" si="80"/>
        <v>0</v>
      </c>
      <c r="M417" s="4"/>
      <c r="N417" s="38">
        <f t="shared" si="77"/>
        <v>0</v>
      </c>
      <c r="O417" s="38">
        <f t="shared" si="81"/>
        <v>0</v>
      </c>
      <c r="P417" s="4"/>
      <c r="Q417" s="38">
        <f t="shared" si="78"/>
        <v>8129.5600000000559</v>
      </c>
      <c r="R417" s="58"/>
      <c r="S417" s="6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ht="18" x14ac:dyDescent="0.25">
      <c r="A418" s="36">
        <f t="shared" si="82"/>
        <v>46379</v>
      </c>
      <c r="B418" s="37" t="s">
        <v>18</v>
      </c>
      <c r="C418" s="38">
        <f t="shared" si="79"/>
        <v>8129.5600000000559</v>
      </c>
      <c r="D418" s="30"/>
      <c r="E418" s="30"/>
      <c r="F418" s="30"/>
      <c r="G418" s="30"/>
      <c r="H418" s="30"/>
      <c r="I418" s="30"/>
      <c r="J418" s="30"/>
      <c r="K418" s="30"/>
      <c r="L418" s="38">
        <f t="shared" si="80"/>
        <v>0</v>
      </c>
      <c r="M418" s="4"/>
      <c r="N418" s="38">
        <f t="shared" si="77"/>
        <v>0</v>
      </c>
      <c r="O418" s="38">
        <f t="shared" si="81"/>
        <v>0</v>
      </c>
      <c r="P418" s="4"/>
      <c r="Q418" s="38">
        <f t="shared" si="78"/>
        <v>8129.5600000000559</v>
      </c>
      <c r="R418" s="58"/>
      <c r="S418" s="6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ht="18" x14ac:dyDescent="0.25">
      <c r="A419" s="36">
        <f t="shared" si="82"/>
        <v>46380</v>
      </c>
      <c r="B419" s="37" t="s">
        <v>19</v>
      </c>
      <c r="C419" s="38">
        <f t="shared" si="79"/>
        <v>8129.5600000000559</v>
      </c>
      <c r="D419" s="30"/>
      <c r="E419" s="30"/>
      <c r="F419" s="30"/>
      <c r="G419" s="30"/>
      <c r="H419" s="30"/>
      <c r="I419" s="30"/>
      <c r="J419" s="30"/>
      <c r="K419" s="30"/>
      <c r="L419" s="38">
        <f t="shared" si="80"/>
        <v>0</v>
      </c>
      <c r="M419" s="4"/>
      <c r="N419" s="38">
        <f t="shared" si="77"/>
        <v>0</v>
      </c>
      <c r="O419" s="38">
        <f t="shared" si="81"/>
        <v>0</v>
      </c>
      <c r="P419" s="4"/>
      <c r="Q419" s="38">
        <f t="shared" si="78"/>
        <v>8129.5600000000559</v>
      </c>
      <c r="R419" s="58"/>
      <c r="S419" s="6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ht="18" x14ac:dyDescent="0.25">
      <c r="A420" s="36">
        <f t="shared" si="82"/>
        <v>46381</v>
      </c>
      <c r="B420" s="37" t="s">
        <v>20</v>
      </c>
      <c r="C420" s="38">
        <f t="shared" si="79"/>
        <v>8129.5600000000559</v>
      </c>
      <c r="D420" s="30"/>
      <c r="E420" s="30"/>
      <c r="F420" s="30"/>
      <c r="G420" s="30"/>
      <c r="H420" s="30"/>
      <c r="I420" s="30"/>
      <c r="J420" s="30"/>
      <c r="K420" s="30"/>
      <c r="L420" s="38">
        <f t="shared" si="80"/>
        <v>0</v>
      </c>
      <c r="M420" s="4"/>
      <c r="N420" s="38">
        <f t="shared" si="77"/>
        <v>0</v>
      </c>
      <c r="O420" s="38">
        <f t="shared" si="81"/>
        <v>0</v>
      </c>
      <c r="P420" s="4"/>
      <c r="Q420" s="38">
        <f t="shared" si="78"/>
        <v>8129.5600000000559</v>
      </c>
      <c r="R420" s="58"/>
      <c r="S420" s="6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ht="18" x14ac:dyDescent="0.25">
      <c r="A421" s="36">
        <f t="shared" si="82"/>
        <v>46382</v>
      </c>
      <c r="B421" s="37" t="s">
        <v>21</v>
      </c>
      <c r="C421" s="38">
        <f t="shared" si="79"/>
        <v>8129.5600000000559</v>
      </c>
      <c r="D421" s="30"/>
      <c r="E421" s="30"/>
      <c r="F421" s="30"/>
      <c r="G421" s="30"/>
      <c r="H421" s="30"/>
      <c r="I421" s="30"/>
      <c r="J421" s="30"/>
      <c r="K421" s="30"/>
      <c r="L421" s="38">
        <f t="shared" si="80"/>
        <v>0</v>
      </c>
      <c r="M421" s="4"/>
      <c r="N421" s="38">
        <f t="shared" si="77"/>
        <v>0</v>
      </c>
      <c r="O421" s="38">
        <f t="shared" si="81"/>
        <v>0</v>
      </c>
      <c r="P421" s="4"/>
      <c r="Q421" s="38">
        <f t="shared" si="78"/>
        <v>8129.5600000000559</v>
      </c>
      <c r="R421" s="58"/>
      <c r="S421" s="6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ht="18" x14ac:dyDescent="0.25">
      <c r="A422" s="36">
        <f t="shared" si="82"/>
        <v>46383</v>
      </c>
      <c r="B422" s="37" t="s">
        <v>23</v>
      </c>
      <c r="C422" s="38">
        <f t="shared" si="79"/>
        <v>8129.5600000000559</v>
      </c>
      <c r="D422" s="30"/>
      <c r="E422" s="30"/>
      <c r="F422" s="30"/>
      <c r="G422" s="30"/>
      <c r="H422" s="30"/>
      <c r="I422" s="30"/>
      <c r="J422" s="30"/>
      <c r="K422" s="30"/>
      <c r="L422" s="38">
        <f t="shared" si="80"/>
        <v>0</v>
      </c>
      <c r="M422" s="4"/>
      <c r="N422" s="38">
        <f t="shared" si="77"/>
        <v>0</v>
      </c>
      <c r="O422" s="38">
        <f t="shared" si="81"/>
        <v>0</v>
      </c>
      <c r="P422" s="4"/>
      <c r="Q422" s="38">
        <f t="shared" si="78"/>
        <v>8129.5600000000559</v>
      </c>
      <c r="R422" s="58"/>
      <c r="S422" s="6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ht="18" x14ac:dyDescent="0.25">
      <c r="A423" s="36">
        <f t="shared" si="82"/>
        <v>46384</v>
      </c>
      <c r="B423" s="37" t="s">
        <v>24</v>
      </c>
      <c r="C423" s="38">
        <f t="shared" si="79"/>
        <v>8129.5600000000559</v>
      </c>
      <c r="D423" s="30"/>
      <c r="E423" s="30"/>
      <c r="F423" s="30"/>
      <c r="G423" s="30"/>
      <c r="H423" s="30"/>
      <c r="I423" s="30"/>
      <c r="J423" s="30"/>
      <c r="K423" s="30"/>
      <c r="L423" s="38">
        <f t="shared" si="80"/>
        <v>0</v>
      </c>
      <c r="M423" s="4"/>
      <c r="N423" s="38">
        <f t="shared" si="77"/>
        <v>0</v>
      </c>
      <c r="O423" s="38">
        <f t="shared" si="81"/>
        <v>0</v>
      </c>
      <c r="P423" s="4"/>
      <c r="Q423" s="38">
        <f t="shared" si="78"/>
        <v>8129.5600000000559</v>
      </c>
      <c r="R423" s="58"/>
      <c r="S423" s="6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ht="18" x14ac:dyDescent="0.25">
      <c r="A424" s="36">
        <f t="shared" si="82"/>
        <v>46385</v>
      </c>
      <c r="B424" s="37" t="s">
        <v>17</v>
      </c>
      <c r="C424" s="38">
        <f t="shared" si="79"/>
        <v>8129.5600000000559</v>
      </c>
      <c r="D424" s="30"/>
      <c r="E424" s="30"/>
      <c r="F424" s="30"/>
      <c r="G424" s="30"/>
      <c r="H424" s="30"/>
      <c r="I424" s="30"/>
      <c r="J424" s="30"/>
      <c r="K424" s="30"/>
      <c r="L424" s="38">
        <f t="shared" si="80"/>
        <v>0</v>
      </c>
      <c r="M424" s="4"/>
      <c r="N424" s="38">
        <f t="shared" si="77"/>
        <v>0</v>
      </c>
      <c r="O424" s="38">
        <f t="shared" si="81"/>
        <v>0</v>
      </c>
      <c r="P424" s="4"/>
      <c r="Q424" s="38">
        <f t="shared" si="78"/>
        <v>8129.5600000000559</v>
      </c>
      <c r="R424" s="58"/>
      <c r="S424" s="6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ht="18" x14ac:dyDescent="0.25">
      <c r="A425" s="36">
        <f t="shared" si="82"/>
        <v>46386</v>
      </c>
      <c r="B425" s="37" t="s">
        <v>25</v>
      </c>
      <c r="C425" s="38">
        <f t="shared" si="79"/>
        <v>8129.5600000000559</v>
      </c>
      <c r="D425" s="30"/>
      <c r="E425" s="30"/>
      <c r="F425" s="30"/>
      <c r="G425" s="30"/>
      <c r="H425" s="30"/>
      <c r="I425" s="30"/>
      <c r="J425" s="30"/>
      <c r="K425" s="30"/>
      <c r="L425" s="38">
        <f t="shared" si="80"/>
        <v>0</v>
      </c>
      <c r="M425" s="4"/>
      <c r="N425" s="38">
        <f t="shared" si="77"/>
        <v>0</v>
      </c>
      <c r="O425" s="38">
        <f t="shared" si="81"/>
        <v>0</v>
      </c>
      <c r="P425" s="4"/>
      <c r="Q425" s="38">
        <f t="shared" si="78"/>
        <v>8129.5600000000559</v>
      </c>
      <c r="R425" s="58"/>
      <c r="S425" s="6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ht="18.75" thickBot="1" x14ac:dyDescent="0.3">
      <c r="A426" s="36">
        <f t="shared" si="82"/>
        <v>46387</v>
      </c>
      <c r="B426" s="37" t="s">
        <v>19</v>
      </c>
      <c r="C426" s="38">
        <f t="shared" si="79"/>
        <v>8129.5600000000559</v>
      </c>
      <c r="D426" s="31"/>
      <c r="E426" s="31"/>
      <c r="F426" s="31"/>
      <c r="G426" s="31"/>
      <c r="H426" s="31"/>
      <c r="I426" s="31"/>
      <c r="J426" s="31"/>
      <c r="K426" s="31"/>
      <c r="L426" s="38">
        <f t="shared" si="80"/>
        <v>0</v>
      </c>
      <c r="M426" s="11"/>
      <c r="N426" s="38">
        <f t="shared" si="77"/>
        <v>0</v>
      </c>
      <c r="O426" s="38">
        <f t="shared" si="81"/>
        <v>0</v>
      </c>
      <c r="P426" s="11"/>
      <c r="Q426" s="38">
        <f t="shared" si="78"/>
        <v>8129.5600000000559</v>
      </c>
      <c r="R426" s="62"/>
      <c r="S426" s="12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ht="19.5" thickTop="1" thickBot="1" x14ac:dyDescent="0.3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ht="19.5" thickTop="1" thickBot="1" x14ac:dyDescent="0.3">
      <c r="A428" s="84"/>
      <c r="B428" s="85"/>
      <c r="C428" s="86"/>
      <c r="D428" s="13">
        <f t="shared" ref="D428:P428" si="83">SUM(D396:D426)</f>
        <v>0</v>
      </c>
      <c r="E428" s="13">
        <f t="shared" si="83"/>
        <v>0</v>
      </c>
      <c r="F428" s="13">
        <f t="shared" si="83"/>
        <v>0</v>
      </c>
      <c r="G428" s="13">
        <f t="shared" si="83"/>
        <v>0</v>
      </c>
      <c r="H428" s="13">
        <f t="shared" si="83"/>
        <v>0</v>
      </c>
      <c r="I428" s="13">
        <f t="shared" si="83"/>
        <v>0</v>
      </c>
      <c r="J428" s="13">
        <f t="shared" si="83"/>
        <v>0</v>
      </c>
      <c r="K428" s="13">
        <f t="shared" si="83"/>
        <v>0</v>
      </c>
      <c r="L428" s="38">
        <f t="shared" si="83"/>
        <v>0</v>
      </c>
      <c r="M428" s="13">
        <f t="shared" si="83"/>
        <v>0</v>
      </c>
      <c r="N428" s="38">
        <f t="shared" si="83"/>
        <v>0</v>
      </c>
      <c r="O428" s="38">
        <f t="shared" si="83"/>
        <v>0</v>
      </c>
      <c r="P428" s="13">
        <f t="shared" si="83"/>
        <v>0</v>
      </c>
      <c r="Q428" s="38">
        <f>C396+C428+L428+-M428-N428-O428-P428</f>
        <v>8129.5600000000559</v>
      </c>
      <c r="R428" s="63"/>
      <c r="S428" s="14"/>
      <c r="U428" s="7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ht="18.75" thickTop="1" x14ac:dyDescent="0.25"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ht="18.75" thickBot="1" x14ac:dyDescent="0.3"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ht="18.75" customHeight="1" x14ac:dyDescent="0.25">
      <c r="A431" s="87" t="s">
        <v>47</v>
      </c>
      <c r="B431" s="88"/>
      <c r="C431" s="88"/>
      <c r="D431" s="88"/>
      <c r="E431" s="88"/>
      <c r="F431" s="89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ht="19.5" customHeight="1" thickBot="1" x14ac:dyDescent="0.3">
      <c r="A432" s="90"/>
      <c r="B432" s="91"/>
      <c r="C432" s="91"/>
      <c r="D432" s="91"/>
      <c r="E432" s="91"/>
      <c r="F432" s="92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ht="18.75" thickBot="1" x14ac:dyDescent="0.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ht="19.5" thickTop="1" thickBot="1" x14ac:dyDescent="0.3">
      <c r="A434" s="77" t="s">
        <v>48</v>
      </c>
      <c r="B434" s="78"/>
      <c r="C434" s="79"/>
      <c r="D434" s="34">
        <f>D38+D72+D108+D143+D179+D214+D250+D286+D321+D357+D392+D428</f>
        <v>244689.06</v>
      </c>
      <c r="E434" s="34">
        <f t="shared" ref="E434:P434" si="84">E38+E72+E108+E143+E179+E214+E250+E286+E321+E357+E392+E428</f>
        <v>1325530.2</v>
      </c>
      <c r="F434" s="34">
        <f t="shared" si="84"/>
        <v>208839.45999999996</v>
      </c>
      <c r="G434" s="34">
        <f t="shared" si="84"/>
        <v>75957.5</v>
      </c>
      <c r="H434" s="34">
        <f t="shared" si="84"/>
        <v>22</v>
      </c>
      <c r="I434" s="34">
        <f t="shared" si="84"/>
        <v>0</v>
      </c>
      <c r="J434" s="34">
        <f t="shared" si="84"/>
        <v>61558.5</v>
      </c>
      <c r="K434" s="34">
        <f t="shared" si="84"/>
        <v>399</v>
      </c>
      <c r="L434" s="44">
        <f t="shared" si="84"/>
        <v>1916995.7200000002</v>
      </c>
      <c r="M434" s="34">
        <f t="shared" si="84"/>
        <v>233350</v>
      </c>
      <c r="N434" s="44">
        <f t="shared" si="84"/>
        <v>1610349.1600000001</v>
      </c>
      <c r="O434" s="44">
        <f t="shared" si="84"/>
        <v>61957.5</v>
      </c>
      <c r="P434" s="34">
        <f t="shared" si="84"/>
        <v>3209.5</v>
      </c>
      <c r="Q434" s="44"/>
      <c r="R434" s="64"/>
      <c r="S434" s="35"/>
      <c r="U434" s="7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ht="18.75" thickTop="1" x14ac:dyDescent="0.25"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</sheetData>
  <sheetProtection algorithmName="SHA-512" hashValue="sk9KCfIDP+ZLyjG215OQ0MqM+XcpT4M/uQHCuJSiq7L1tdjpDiQ8+l6piDZSKc924oINnQBTgIuGTMkaCN6Ktw==" saltValue="+iGYmYXb8g3agpLsd0umbQ==" spinCount="100000" sheet="1" objects="1" scenarios="1"/>
  <mergeCells count="194">
    <mergeCell ref="A2:C2"/>
    <mergeCell ref="D2:E2"/>
    <mergeCell ref="A4:A5"/>
    <mergeCell ref="B4:B5"/>
    <mergeCell ref="C4:C5"/>
    <mergeCell ref="D4:D5"/>
    <mergeCell ref="E4:K4"/>
    <mergeCell ref="M40:M41"/>
    <mergeCell ref="N40:N41"/>
    <mergeCell ref="O40:O41"/>
    <mergeCell ref="P40:P41"/>
    <mergeCell ref="Q40:Q41"/>
    <mergeCell ref="S40:S41"/>
    <mergeCell ref="S4:S5"/>
    <mergeCell ref="A37:S37"/>
    <mergeCell ref="A38:C38"/>
    <mergeCell ref="A39:S39"/>
    <mergeCell ref="A40:A41"/>
    <mergeCell ref="B40:B41"/>
    <mergeCell ref="C40:C41"/>
    <mergeCell ref="D40:D41"/>
    <mergeCell ref="E40:K40"/>
    <mergeCell ref="L40:L41"/>
    <mergeCell ref="L4:L5"/>
    <mergeCell ref="M4:M5"/>
    <mergeCell ref="N4:N5"/>
    <mergeCell ref="O4:O5"/>
    <mergeCell ref="P4:P5"/>
    <mergeCell ref="Q4:Q5"/>
    <mergeCell ref="R4:R5"/>
    <mergeCell ref="R40:R41"/>
    <mergeCell ref="N74:N75"/>
    <mergeCell ref="O74:O75"/>
    <mergeCell ref="P74:P75"/>
    <mergeCell ref="Q74:Q75"/>
    <mergeCell ref="S74:S75"/>
    <mergeCell ref="A107:S107"/>
    <mergeCell ref="A71:S71"/>
    <mergeCell ref="A72:C72"/>
    <mergeCell ref="A73:S73"/>
    <mergeCell ref="A74:A75"/>
    <mergeCell ref="B74:B75"/>
    <mergeCell ref="C74:C75"/>
    <mergeCell ref="D74:D75"/>
    <mergeCell ref="E74:K74"/>
    <mergeCell ref="L74:L75"/>
    <mergeCell ref="M74:M75"/>
    <mergeCell ref="R74:R75"/>
    <mergeCell ref="O110:O111"/>
    <mergeCell ref="P110:P111"/>
    <mergeCell ref="Q110:Q111"/>
    <mergeCell ref="S110:S111"/>
    <mergeCell ref="A142:S142"/>
    <mergeCell ref="A143:C143"/>
    <mergeCell ref="A108:C108"/>
    <mergeCell ref="A109:S109"/>
    <mergeCell ref="A110:A111"/>
    <mergeCell ref="B110:B111"/>
    <mergeCell ref="C110:C111"/>
    <mergeCell ref="D110:D111"/>
    <mergeCell ref="E110:K110"/>
    <mergeCell ref="L110:L111"/>
    <mergeCell ref="M110:M111"/>
    <mergeCell ref="N110:N111"/>
    <mergeCell ref="R110:R111"/>
    <mergeCell ref="P145:P146"/>
    <mergeCell ref="Q145:Q146"/>
    <mergeCell ref="S145:S146"/>
    <mergeCell ref="A178:S178"/>
    <mergeCell ref="A179:C179"/>
    <mergeCell ref="A180:S180"/>
    <mergeCell ref="A144:S144"/>
    <mergeCell ref="A145:A146"/>
    <mergeCell ref="B145:B146"/>
    <mergeCell ref="C145:C146"/>
    <mergeCell ref="D145:D146"/>
    <mergeCell ref="E145:K145"/>
    <mergeCell ref="L145:L146"/>
    <mergeCell ref="M145:M146"/>
    <mergeCell ref="N145:N146"/>
    <mergeCell ref="O145:O146"/>
    <mergeCell ref="R145:R146"/>
    <mergeCell ref="M181:M182"/>
    <mergeCell ref="N181:N182"/>
    <mergeCell ref="O181:O182"/>
    <mergeCell ref="P181:P182"/>
    <mergeCell ref="Q181:Q182"/>
    <mergeCell ref="S181:S182"/>
    <mergeCell ref="A181:A182"/>
    <mergeCell ref="B181:B182"/>
    <mergeCell ref="C181:C182"/>
    <mergeCell ref="D181:D182"/>
    <mergeCell ref="E181:K181"/>
    <mergeCell ref="L181:L182"/>
    <mergeCell ref="R181:R182"/>
    <mergeCell ref="N216:N217"/>
    <mergeCell ref="O216:O217"/>
    <mergeCell ref="P216:P217"/>
    <mergeCell ref="Q216:Q217"/>
    <mergeCell ref="S216:S217"/>
    <mergeCell ref="A249:S249"/>
    <mergeCell ref="A213:S213"/>
    <mergeCell ref="A214:C214"/>
    <mergeCell ref="A215:S215"/>
    <mergeCell ref="A216:A217"/>
    <mergeCell ref="B216:B217"/>
    <mergeCell ref="C216:C217"/>
    <mergeCell ref="D216:D217"/>
    <mergeCell ref="E216:K216"/>
    <mergeCell ref="L216:L217"/>
    <mergeCell ref="M216:M217"/>
    <mergeCell ref="R216:R217"/>
    <mergeCell ref="O252:O253"/>
    <mergeCell ref="P252:P253"/>
    <mergeCell ref="Q252:Q253"/>
    <mergeCell ref="S252:S253"/>
    <mergeCell ref="A285:S285"/>
    <mergeCell ref="A286:C286"/>
    <mergeCell ref="A250:C250"/>
    <mergeCell ref="A251:S251"/>
    <mergeCell ref="A252:A253"/>
    <mergeCell ref="B252:B253"/>
    <mergeCell ref="C252:C253"/>
    <mergeCell ref="D252:D253"/>
    <mergeCell ref="E252:K252"/>
    <mergeCell ref="L252:L253"/>
    <mergeCell ref="M252:M253"/>
    <mergeCell ref="N252:N253"/>
    <mergeCell ref="R252:R253"/>
    <mergeCell ref="P288:P289"/>
    <mergeCell ref="Q288:Q289"/>
    <mergeCell ref="S288:S289"/>
    <mergeCell ref="A320:S320"/>
    <mergeCell ref="A321:C321"/>
    <mergeCell ref="A322:S322"/>
    <mergeCell ref="A287:S287"/>
    <mergeCell ref="A288:A289"/>
    <mergeCell ref="B288:B289"/>
    <mergeCell ref="C288:C289"/>
    <mergeCell ref="D288:D289"/>
    <mergeCell ref="E288:K288"/>
    <mergeCell ref="L288:L289"/>
    <mergeCell ref="M288:M289"/>
    <mergeCell ref="N288:N289"/>
    <mergeCell ref="O288:O289"/>
    <mergeCell ref="R288:R289"/>
    <mergeCell ref="M323:M324"/>
    <mergeCell ref="N323:N324"/>
    <mergeCell ref="O323:O324"/>
    <mergeCell ref="P323:P324"/>
    <mergeCell ref="Q323:Q324"/>
    <mergeCell ref="S323:S324"/>
    <mergeCell ref="A323:A324"/>
    <mergeCell ref="B323:B324"/>
    <mergeCell ref="C323:C324"/>
    <mergeCell ref="D323:D324"/>
    <mergeCell ref="E323:K323"/>
    <mergeCell ref="L323:L324"/>
    <mergeCell ref="R323:R324"/>
    <mergeCell ref="N359:N360"/>
    <mergeCell ref="O359:O360"/>
    <mergeCell ref="P359:P360"/>
    <mergeCell ref="Q359:Q360"/>
    <mergeCell ref="S359:S360"/>
    <mergeCell ref="A391:S391"/>
    <mergeCell ref="A356:S356"/>
    <mergeCell ref="A357:C357"/>
    <mergeCell ref="A358:S358"/>
    <mergeCell ref="A359:A360"/>
    <mergeCell ref="B359:B360"/>
    <mergeCell ref="C359:C360"/>
    <mergeCell ref="D359:D360"/>
    <mergeCell ref="E359:K359"/>
    <mergeCell ref="L359:L360"/>
    <mergeCell ref="M359:M360"/>
    <mergeCell ref="R359:R360"/>
    <mergeCell ref="A434:C434"/>
    <mergeCell ref="O394:O395"/>
    <mergeCell ref="P394:P395"/>
    <mergeCell ref="Q394:Q395"/>
    <mergeCell ref="S394:S395"/>
    <mergeCell ref="A428:C428"/>
    <mergeCell ref="A431:F432"/>
    <mergeCell ref="A392:C392"/>
    <mergeCell ref="A393:S393"/>
    <mergeCell ref="A394:A395"/>
    <mergeCell ref="B394:B395"/>
    <mergeCell ref="C394:C395"/>
    <mergeCell ref="D394:D395"/>
    <mergeCell ref="E394:K394"/>
    <mergeCell ref="L394:L395"/>
    <mergeCell ref="M394:M395"/>
    <mergeCell ref="N394:N395"/>
    <mergeCell ref="R394:R395"/>
  </mergeCells>
  <hyperlinks>
    <hyperlink ref="L2" location="'المبيعات الكلية للمعارض'!A1" display="تراجع" xr:uid="{00000000-0004-0000-0000-000000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Y20"/>
  <sheetViews>
    <sheetView rightToLeft="1" workbookViewId="0">
      <selection activeCell="A17" sqref="A17"/>
    </sheetView>
  </sheetViews>
  <sheetFormatPr defaultRowHeight="14.25" x14ac:dyDescent="0.2"/>
  <cols>
    <col min="1" max="1" width="16.875" style="45" bestFit="1" customWidth="1"/>
    <col min="2" max="2" width="21" bestFit="1" customWidth="1"/>
    <col min="3" max="8" width="18.125" customWidth="1"/>
    <col min="9" max="9" width="20.375" bestFit="1" customWidth="1"/>
    <col min="10" max="17" width="18.125" customWidth="1"/>
  </cols>
  <sheetData>
    <row r="2" spans="1:51" ht="15" thickBot="1" x14ac:dyDescent="0.25"/>
    <row r="3" spans="1:51" ht="19.5" thickTop="1" thickBot="1" x14ac:dyDescent="0.3">
      <c r="A3" s="96" t="s">
        <v>28</v>
      </c>
      <c r="B3" s="98" t="s">
        <v>2</v>
      </c>
      <c r="C3" s="80" t="s">
        <v>3</v>
      </c>
      <c r="D3" s="100" t="s">
        <v>4</v>
      </c>
      <c r="E3" s="101"/>
      <c r="F3" s="101"/>
      <c r="G3" s="101"/>
      <c r="H3" s="101"/>
      <c r="I3" s="101"/>
      <c r="J3" s="102"/>
      <c r="K3" s="80" t="s">
        <v>5</v>
      </c>
      <c r="L3" s="80" t="s">
        <v>6</v>
      </c>
      <c r="M3" s="80" t="s">
        <v>7</v>
      </c>
      <c r="N3" s="80" t="s">
        <v>8</v>
      </c>
      <c r="O3" s="80" t="s">
        <v>9</v>
      </c>
      <c r="P3" s="82" t="s">
        <v>10</v>
      </c>
      <c r="Q3" s="82" t="s">
        <v>11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ht="19.5" thickTop="1" thickBot="1" x14ac:dyDescent="0.3">
      <c r="A4" s="97"/>
      <c r="B4" s="99"/>
      <c r="C4" s="81"/>
      <c r="D4" s="41" t="s">
        <v>12</v>
      </c>
      <c r="E4" s="42" t="s">
        <v>13</v>
      </c>
      <c r="F4" s="41" t="s">
        <v>14</v>
      </c>
      <c r="G4" s="41" t="s">
        <v>15</v>
      </c>
      <c r="H4" s="41" t="s">
        <v>45</v>
      </c>
      <c r="I4" s="42" t="s">
        <v>44</v>
      </c>
      <c r="J4" s="42" t="s">
        <v>46</v>
      </c>
      <c r="K4" s="81"/>
      <c r="L4" s="81"/>
      <c r="M4" s="81"/>
      <c r="N4" s="81"/>
      <c r="O4" s="81"/>
      <c r="P4" s="83"/>
      <c r="Q4" s="83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ht="19.5" thickTop="1" thickBot="1" x14ac:dyDescent="0.3">
      <c r="A5" s="52" t="s">
        <v>50</v>
      </c>
      <c r="B5" s="13">
        <v>0</v>
      </c>
      <c r="C5" s="13">
        <f>'الحركة اليومية'!D38</f>
        <v>26127</v>
      </c>
      <c r="D5" s="13">
        <f>'الحركة اليومية'!E38</f>
        <v>119868.99999999999</v>
      </c>
      <c r="E5" s="13">
        <f>'الحركة اليومية'!F38</f>
        <v>14534</v>
      </c>
      <c r="F5" s="13">
        <f>'الحركة اليومية'!G38</f>
        <v>5630</v>
      </c>
      <c r="G5" s="13">
        <f>'الحركة اليومية'!H38</f>
        <v>22</v>
      </c>
      <c r="H5" s="13">
        <f>'الحركة اليومية'!I38</f>
        <v>0</v>
      </c>
      <c r="I5" s="13">
        <f>'الحركة اليومية'!J38</f>
        <v>5104</v>
      </c>
      <c r="J5" s="13">
        <f>'الحركة اليومية'!K38</f>
        <v>0</v>
      </c>
      <c r="K5" s="38">
        <f>'الحركة اليومية'!L38</f>
        <v>171285.99999999997</v>
      </c>
      <c r="L5" s="13">
        <f>'الحركة اليومية'!M38</f>
        <v>21350</v>
      </c>
      <c r="M5" s="38">
        <f>'الحركة اليومية'!N38</f>
        <v>140055</v>
      </c>
      <c r="N5" s="38">
        <f>'الحركة اليومية'!O38</f>
        <v>5104</v>
      </c>
      <c r="O5" s="13">
        <f>'الحركة اليومية'!P38</f>
        <v>0</v>
      </c>
      <c r="P5" s="38">
        <f>'الحركة اليومية'!Q38</f>
        <v>4776.9999999999709</v>
      </c>
      <c r="Q5" s="14">
        <f>'الحركة اليومية'!S38</f>
        <v>0</v>
      </c>
    </row>
    <row r="6" spans="1:51" ht="19.5" thickTop="1" thickBot="1" x14ac:dyDescent="0.3">
      <c r="A6" s="52" t="s">
        <v>51</v>
      </c>
      <c r="B6" s="13">
        <f>P5</f>
        <v>4776.9999999999709</v>
      </c>
      <c r="C6" s="13">
        <f>'الحركة اليومية'!D72</f>
        <v>43352.400000000009</v>
      </c>
      <c r="D6" s="13">
        <f>'الحركة اليومية'!E72</f>
        <v>196776.1</v>
      </c>
      <c r="E6" s="13">
        <f>'الحركة اليومية'!F72</f>
        <v>37851.199999999997</v>
      </c>
      <c r="F6" s="13">
        <f>'الحركة اليومية'!G72</f>
        <v>11742.5</v>
      </c>
      <c r="G6" s="13">
        <f>'الحركة اليومية'!H72</f>
        <v>0</v>
      </c>
      <c r="H6" s="13">
        <f>'الحركة اليومية'!I72</f>
        <v>0</v>
      </c>
      <c r="I6" s="13">
        <f>'الحركة اليومية'!J72</f>
        <v>5495</v>
      </c>
      <c r="J6" s="13">
        <f>'الحركة اليومية'!K72</f>
        <v>0</v>
      </c>
      <c r="K6" s="38">
        <f>'الحركة اليومية'!L72</f>
        <v>295217.2</v>
      </c>
      <c r="L6" s="13">
        <f>'الحركة اليومية'!M72</f>
        <v>39500</v>
      </c>
      <c r="M6" s="38">
        <f>'الحركة اليومية'!N72</f>
        <v>246369.8</v>
      </c>
      <c r="N6" s="38">
        <f>'الحركة اليومية'!O72</f>
        <v>5495</v>
      </c>
      <c r="O6" s="13">
        <f>'الحركة اليومية'!P72</f>
        <v>0</v>
      </c>
      <c r="P6" s="38">
        <f>'الحركة اليومية'!Q72</f>
        <v>8629.3999999999651</v>
      </c>
      <c r="Q6" s="14"/>
    </row>
    <row r="7" spans="1:51" ht="19.5" thickTop="1" thickBot="1" x14ac:dyDescent="0.3">
      <c r="A7" s="52" t="s">
        <v>52</v>
      </c>
      <c r="B7" s="13">
        <f t="shared" ref="B7:B16" si="0">P6</f>
        <v>8629.3999999999651</v>
      </c>
      <c r="C7" s="13">
        <f>'الحركة اليومية'!D108</f>
        <v>78829.66</v>
      </c>
      <c r="D7" s="13">
        <f>'الحركة اليومية'!E108</f>
        <v>431081.58999999997</v>
      </c>
      <c r="E7" s="13">
        <f>'الحركة اليومية'!F108</f>
        <v>66453.399999999994</v>
      </c>
      <c r="F7" s="13">
        <f>'الحركة اليومية'!G108</f>
        <v>22811</v>
      </c>
      <c r="G7" s="13">
        <f>'الحركة اليومية'!H108</f>
        <v>0</v>
      </c>
      <c r="H7" s="13">
        <f>'الحركة اليومية'!I108</f>
        <v>0</v>
      </c>
      <c r="I7" s="13">
        <f>'الحركة اليومية'!J108</f>
        <v>21180</v>
      </c>
      <c r="J7" s="13">
        <f>'الحركة اليومية'!K108</f>
        <v>0</v>
      </c>
      <c r="K7" s="38">
        <f>'الحركة اليومية'!L108</f>
        <v>620355.65</v>
      </c>
      <c r="L7" s="13">
        <f>'الحركة اليومية'!M108</f>
        <v>81350</v>
      </c>
      <c r="M7" s="38">
        <f>'الحركة اليومية'!N108</f>
        <v>520345.99</v>
      </c>
      <c r="N7" s="38">
        <f>'الحركة اليومية'!O108</f>
        <v>21180</v>
      </c>
      <c r="O7" s="13">
        <f>'الحركة اليومية'!P108</f>
        <v>2118</v>
      </c>
      <c r="P7" s="38">
        <f>'الحركة اليومية'!Q108</f>
        <v>3991.0600000000559</v>
      </c>
      <c r="Q7" s="14"/>
    </row>
    <row r="8" spans="1:51" ht="19.5" thickTop="1" thickBot="1" x14ac:dyDescent="0.3">
      <c r="A8" s="52" t="s">
        <v>53</v>
      </c>
      <c r="B8" s="13">
        <f t="shared" si="0"/>
        <v>3991.0600000000559</v>
      </c>
      <c r="C8" s="13">
        <f>'الحركة اليومية'!D143</f>
        <v>13242</v>
      </c>
      <c r="D8" s="13">
        <f>'الحركة اليومية'!E143</f>
        <v>66276</v>
      </c>
      <c r="E8" s="13">
        <f>'الحركة اليومية'!F143</f>
        <v>9338</v>
      </c>
      <c r="F8" s="13">
        <f>'الحركة اليومية'!G143</f>
        <v>8423</v>
      </c>
      <c r="G8" s="13">
        <f>'الحركة اليومية'!H143</f>
        <v>0</v>
      </c>
      <c r="H8" s="13">
        <f>'الحركة اليومية'!I143</f>
        <v>0</v>
      </c>
      <c r="I8" s="13">
        <f>'الحركة اليومية'!J143</f>
        <v>3006</v>
      </c>
      <c r="J8" s="13">
        <f>'الحركة اليومية'!K143</f>
        <v>399</v>
      </c>
      <c r="K8" s="38">
        <f>'الحركة اليومية'!L143</f>
        <v>100684</v>
      </c>
      <c r="L8" s="13">
        <f>'الحركة اليومية'!M143</f>
        <v>13100</v>
      </c>
      <c r="M8" s="38">
        <f>'الحركة اليومية'!N143</f>
        <v>84037</v>
      </c>
      <c r="N8" s="38">
        <f>'الحركة اليومية'!O143</f>
        <v>3405</v>
      </c>
      <c r="O8" s="13">
        <f>'الحركة اليومية'!P143</f>
        <v>420</v>
      </c>
      <c r="P8" s="38">
        <f>'الحركة اليومية'!Q143</f>
        <v>3713.0600000000559</v>
      </c>
      <c r="Q8" s="14">
        <f>'الحركة اليومية'!S143</f>
        <v>0</v>
      </c>
    </row>
    <row r="9" spans="1:51" ht="19.5" thickTop="1" thickBot="1" x14ac:dyDescent="0.3">
      <c r="A9" s="52" t="s">
        <v>54</v>
      </c>
      <c r="B9" s="13">
        <f t="shared" si="0"/>
        <v>3713.0600000000559</v>
      </c>
      <c r="C9" s="13">
        <f>'الحركة اليومية'!D179</f>
        <v>15983</v>
      </c>
      <c r="D9" s="13">
        <f>'الحركة اليومية'!E179</f>
        <v>104399.01000000001</v>
      </c>
      <c r="E9" s="13">
        <f>'الحركة اليومية'!F179</f>
        <v>16666</v>
      </c>
      <c r="F9" s="13">
        <f>'الحركة اليومية'!G179</f>
        <v>5301</v>
      </c>
      <c r="G9" s="13">
        <f>'الحركة اليومية'!H179</f>
        <v>0</v>
      </c>
      <c r="H9" s="13">
        <f>'الحركة اليومية'!I179</f>
        <v>0</v>
      </c>
      <c r="I9" s="13">
        <f>'الحركة اليومية'!J179</f>
        <v>4112</v>
      </c>
      <c r="J9" s="13">
        <f>'الحركة اليومية'!K179</f>
        <v>0</v>
      </c>
      <c r="K9" s="38">
        <f>'الحركة اليومية'!L179</f>
        <v>146461.01</v>
      </c>
      <c r="L9" s="13">
        <f>'الحركة اليومية'!M179</f>
        <v>15500</v>
      </c>
      <c r="M9" s="38">
        <f>'الحركة اليومية'!N179</f>
        <v>126366.01000000001</v>
      </c>
      <c r="N9" s="38">
        <f>'الحركة اليومية'!O179</f>
        <v>4112</v>
      </c>
      <c r="O9" s="13">
        <f>'الحركة اليومية'!P179</f>
        <v>0</v>
      </c>
      <c r="P9" s="38">
        <f>'الحركة اليومية'!Q179</f>
        <v>4196.0600000000559</v>
      </c>
      <c r="Q9" s="14">
        <f>'الحركة اليومية'!S179</f>
        <v>0</v>
      </c>
    </row>
    <row r="10" spans="1:51" ht="19.5" thickTop="1" thickBot="1" x14ac:dyDescent="0.3">
      <c r="A10" s="52" t="s">
        <v>55</v>
      </c>
      <c r="B10" s="13">
        <f t="shared" si="0"/>
        <v>4196.0600000000559</v>
      </c>
      <c r="C10" s="13">
        <f>'الحركة اليومية'!D214</f>
        <v>13357.25</v>
      </c>
      <c r="D10" s="13">
        <f>'الحركة اليومية'!E214</f>
        <v>54610.75</v>
      </c>
      <c r="E10" s="13">
        <f>'الحركة اليومية'!F214</f>
        <v>6466.8600000000006</v>
      </c>
      <c r="F10" s="13">
        <f>'الحركة اليومية'!G214</f>
        <v>2486</v>
      </c>
      <c r="G10" s="13">
        <f>'الحركة اليومية'!H214</f>
        <v>0</v>
      </c>
      <c r="H10" s="13">
        <f>'الحركة اليومية'!I214</f>
        <v>0</v>
      </c>
      <c r="I10" s="13">
        <f>'الحركة اليومية'!J214</f>
        <v>1638</v>
      </c>
      <c r="J10" s="13">
        <f>'الحركة اليومية'!K214</f>
        <v>0</v>
      </c>
      <c r="K10" s="38">
        <f>'الحركة اليومية'!L214</f>
        <v>78558.86</v>
      </c>
      <c r="L10" s="13">
        <f>'الحركة اليومية'!M214</f>
        <v>12750</v>
      </c>
      <c r="M10" s="38">
        <f>'الحركة اليومية'!N214</f>
        <v>63563.61</v>
      </c>
      <c r="N10" s="38">
        <f>'الحركة اليومية'!O214</f>
        <v>1638</v>
      </c>
      <c r="O10" s="13">
        <f>'الحركة اليومية'!P214</f>
        <v>0</v>
      </c>
      <c r="P10" s="38">
        <f>'الحركة اليومية'!Q214</f>
        <v>4803.3100000000559</v>
      </c>
      <c r="Q10" s="14">
        <f>'الحركة اليومية'!$S$214</f>
        <v>0</v>
      </c>
    </row>
    <row r="11" spans="1:51" ht="19.5" thickTop="1" thickBot="1" x14ac:dyDescent="0.3">
      <c r="A11" s="52" t="s">
        <v>56</v>
      </c>
      <c r="B11" s="13">
        <f t="shared" si="0"/>
        <v>4803.3100000000559</v>
      </c>
      <c r="C11" s="13">
        <f>'الحركة اليومية'!D250</f>
        <v>20763.75</v>
      </c>
      <c r="D11" s="13">
        <f>'الحركة اليومية'!E250</f>
        <v>101418.25</v>
      </c>
      <c r="E11" s="13">
        <f>'الحركة اليومية'!F250</f>
        <v>22569.5</v>
      </c>
      <c r="F11" s="13">
        <f>'الحركة اليومية'!G250</f>
        <v>8523</v>
      </c>
      <c r="G11" s="13">
        <f>'الحركة اليومية'!H250</f>
        <v>0</v>
      </c>
      <c r="H11" s="13">
        <f>'الحركة اليومية'!I250</f>
        <v>0</v>
      </c>
      <c r="I11" s="13">
        <f>'الحركة اليومية'!J250</f>
        <v>6566</v>
      </c>
      <c r="J11" s="13">
        <f>'الحركة اليومية'!K250</f>
        <v>0</v>
      </c>
      <c r="K11" s="38">
        <f>'الحركة اليومية'!L250</f>
        <v>159840.5</v>
      </c>
      <c r="L11" s="13">
        <f>'الحركة اليومية'!M250</f>
        <v>23700</v>
      </c>
      <c r="M11" s="38">
        <f>'الحركة اليومية'!N250</f>
        <v>132510.75</v>
      </c>
      <c r="N11" s="38">
        <f>'الحركة اليومية'!O250</f>
        <v>6566</v>
      </c>
      <c r="O11" s="13">
        <f>'الحركة اليومية'!P250</f>
        <v>0</v>
      </c>
      <c r="P11" s="38">
        <f>'الحركة اليومية'!Q250</f>
        <v>1867.0600000000559</v>
      </c>
      <c r="Q11" s="14">
        <f>'الحركة اليومية'!$S$250</f>
        <v>0</v>
      </c>
    </row>
    <row r="12" spans="1:51" ht="19.5" thickTop="1" thickBot="1" x14ac:dyDescent="0.3">
      <c r="A12" s="52" t="s">
        <v>57</v>
      </c>
      <c r="B12" s="13">
        <f t="shared" si="0"/>
        <v>1867.0600000000559</v>
      </c>
      <c r="C12" s="13">
        <f>'الحركة اليومية'!D286</f>
        <v>22711</v>
      </c>
      <c r="D12" s="13">
        <f>'الحركة اليومية'!E286</f>
        <v>187195.5</v>
      </c>
      <c r="E12" s="13">
        <f>'الحركة اليومية'!F286</f>
        <v>26249.5</v>
      </c>
      <c r="F12" s="13">
        <f>'الحركة اليومية'!G286</f>
        <v>8484</v>
      </c>
      <c r="G12" s="13">
        <f>'الحركة اليومية'!H286</f>
        <v>0</v>
      </c>
      <c r="H12" s="13">
        <f>'الحركة اليومية'!I286</f>
        <v>0</v>
      </c>
      <c r="I12" s="13">
        <f>'الحركة اليومية'!J286</f>
        <v>12775.5</v>
      </c>
      <c r="J12" s="13">
        <f>'الحركة اليومية'!K286</f>
        <v>0</v>
      </c>
      <c r="K12" s="38">
        <f>'الحركة اليومية'!L286</f>
        <v>257415.5</v>
      </c>
      <c r="L12" s="13">
        <f>'الحركة اليومية'!M286</f>
        <v>21100</v>
      </c>
      <c r="M12" s="38">
        <f>'الحركة اليومية'!N286</f>
        <v>221929</v>
      </c>
      <c r="N12" s="38">
        <f>'الحركة اليومية'!O286</f>
        <v>12775.5</v>
      </c>
      <c r="O12" s="13">
        <f>'الحركة اليومية'!P286</f>
        <v>671.5</v>
      </c>
      <c r="P12" s="38">
        <f>'الحركة اليومية'!Q286</f>
        <v>2806.5600000000559</v>
      </c>
      <c r="Q12" s="14">
        <f>'الحركة اليومية'!S286</f>
        <v>0</v>
      </c>
    </row>
    <row r="13" spans="1:51" ht="19.5" thickTop="1" thickBot="1" x14ac:dyDescent="0.3">
      <c r="A13" s="52" t="s">
        <v>58</v>
      </c>
      <c r="B13" s="13">
        <f t="shared" si="0"/>
        <v>2806.5600000000559</v>
      </c>
      <c r="C13" s="13">
        <f>'الحركة اليومية'!D321</f>
        <v>10323</v>
      </c>
      <c r="D13" s="13">
        <f>'الحركة اليومية'!E321</f>
        <v>63904</v>
      </c>
      <c r="E13" s="13">
        <f>'الحركة اليومية'!F321</f>
        <v>8711</v>
      </c>
      <c r="F13" s="13">
        <f>'الحركة اليومية'!G321</f>
        <v>2557</v>
      </c>
      <c r="G13" s="13">
        <f>'الحركة اليومية'!H321</f>
        <v>0</v>
      </c>
      <c r="H13" s="13">
        <f>'الحركة اليومية'!I321</f>
        <v>0</v>
      </c>
      <c r="I13" s="13">
        <f>'الحركة اليومية'!J321</f>
        <v>1682</v>
      </c>
      <c r="J13" s="13">
        <f>'الحركة اليومية'!K321</f>
        <v>0</v>
      </c>
      <c r="K13" s="38">
        <f>'الحركة اليومية'!L321</f>
        <v>87177</v>
      </c>
      <c r="L13" s="13">
        <f>'الحركة اليومية'!M321</f>
        <v>5000</v>
      </c>
      <c r="M13" s="38">
        <f>'الحركة اليومية'!N321</f>
        <v>75172</v>
      </c>
      <c r="N13" s="38">
        <f>'الحركة اليومية'!O321</f>
        <v>1682</v>
      </c>
      <c r="O13" s="13">
        <f>'الحركة اليومية'!P321</f>
        <v>0</v>
      </c>
      <c r="P13" s="38">
        <f>'الحركة اليومية'!Q321</f>
        <v>8129.5600000000559</v>
      </c>
      <c r="Q13" s="14"/>
    </row>
    <row r="14" spans="1:51" ht="19.5" thickTop="1" thickBot="1" x14ac:dyDescent="0.3">
      <c r="A14" s="52" t="s">
        <v>59</v>
      </c>
      <c r="B14" s="13">
        <f t="shared" si="0"/>
        <v>8129.5600000000559</v>
      </c>
      <c r="C14" s="13">
        <f>'الحركة اليومية'!D357</f>
        <v>0</v>
      </c>
      <c r="D14" s="13">
        <f>'الحركة اليومية'!E357</f>
        <v>0</v>
      </c>
      <c r="E14" s="13">
        <f>'الحركة اليومية'!F357</f>
        <v>0</v>
      </c>
      <c r="F14" s="13">
        <f>'الحركة اليومية'!G357</f>
        <v>0</v>
      </c>
      <c r="G14" s="13">
        <f>'الحركة اليومية'!H357</f>
        <v>0</v>
      </c>
      <c r="H14" s="13">
        <f>'الحركة اليومية'!I357</f>
        <v>0</v>
      </c>
      <c r="I14" s="13">
        <f>'الحركة اليومية'!J357</f>
        <v>0</v>
      </c>
      <c r="J14" s="13">
        <f>'الحركة اليومية'!K357</f>
        <v>0</v>
      </c>
      <c r="K14" s="38">
        <f>'الحركة اليومية'!L357</f>
        <v>0</v>
      </c>
      <c r="L14" s="13">
        <f>'الحركة اليومية'!M357</f>
        <v>0</v>
      </c>
      <c r="M14" s="38">
        <f>'الحركة اليومية'!N357</f>
        <v>0</v>
      </c>
      <c r="N14" s="38">
        <f>'الحركة اليومية'!O357</f>
        <v>0</v>
      </c>
      <c r="O14" s="13">
        <f>'الحركة اليومية'!P357</f>
        <v>0</v>
      </c>
      <c r="P14" s="38">
        <f>'الحركة اليومية'!Q357</f>
        <v>8129.5600000000559</v>
      </c>
      <c r="Q14" s="14">
        <f>'الحركة اليومية'!$S$357</f>
        <v>0</v>
      </c>
    </row>
    <row r="15" spans="1:51" ht="19.5" thickTop="1" thickBot="1" x14ac:dyDescent="0.3">
      <c r="A15" s="52" t="s">
        <v>60</v>
      </c>
      <c r="B15" s="13">
        <f t="shared" si="0"/>
        <v>8129.5600000000559</v>
      </c>
      <c r="C15" s="13">
        <f>'الحركة اليومية'!D392</f>
        <v>0</v>
      </c>
      <c r="D15" s="13">
        <f>'الحركة اليومية'!E392</f>
        <v>0</v>
      </c>
      <c r="E15" s="13">
        <f>'الحركة اليومية'!F392</f>
        <v>0</v>
      </c>
      <c r="F15" s="13">
        <f>'الحركة اليومية'!G392</f>
        <v>0</v>
      </c>
      <c r="G15" s="13">
        <f>'الحركة اليومية'!H392</f>
        <v>0</v>
      </c>
      <c r="H15" s="13">
        <f>'الحركة اليومية'!I392</f>
        <v>0</v>
      </c>
      <c r="I15" s="13">
        <f>'الحركة اليومية'!J392</f>
        <v>0</v>
      </c>
      <c r="J15" s="13">
        <f>'الحركة اليومية'!K392</f>
        <v>0</v>
      </c>
      <c r="K15" s="38">
        <f>'الحركة اليومية'!L392</f>
        <v>0</v>
      </c>
      <c r="L15" s="13">
        <f>'الحركة اليومية'!M392</f>
        <v>0</v>
      </c>
      <c r="M15" s="38">
        <f>'الحركة اليومية'!N392</f>
        <v>0</v>
      </c>
      <c r="N15" s="38">
        <f>'الحركة اليومية'!O392</f>
        <v>0</v>
      </c>
      <c r="O15" s="13">
        <f>'الحركة اليومية'!P392</f>
        <v>0</v>
      </c>
      <c r="P15" s="38">
        <f>'الحركة اليومية'!Q392</f>
        <v>8129.5600000000559</v>
      </c>
      <c r="Q15" s="14">
        <f>'الحركة اليومية'!S392</f>
        <v>0</v>
      </c>
    </row>
    <row r="16" spans="1:51" ht="19.5" thickTop="1" thickBot="1" x14ac:dyDescent="0.3">
      <c r="A16" s="52" t="s">
        <v>61</v>
      </c>
      <c r="B16" s="13">
        <f t="shared" si="0"/>
        <v>8129.5600000000559</v>
      </c>
      <c r="C16" s="13">
        <f>'الحركة اليومية'!D428</f>
        <v>0</v>
      </c>
      <c r="D16" s="13">
        <f>'الحركة اليومية'!E428</f>
        <v>0</v>
      </c>
      <c r="E16" s="13">
        <f>'الحركة اليومية'!F428</f>
        <v>0</v>
      </c>
      <c r="F16" s="13">
        <f>'الحركة اليومية'!G428</f>
        <v>0</v>
      </c>
      <c r="G16" s="13">
        <f>'الحركة اليومية'!H428</f>
        <v>0</v>
      </c>
      <c r="H16" s="13">
        <f>'الحركة اليومية'!I428</f>
        <v>0</v>
      </c>
      <c r="I16" s="13">
        <f>'الحركة اليومية'!J428</f>
        <v>0</v>
      </c>
      <c r="J16" s="13">
        <f>'الحركة اليومية'!K428</f>
        <v>0</v>
      </c>
      <c r="K16" s="40">
        <f>'الحركة اليومية'!L428</f>
        <v>0</v>
      </c>
      <c r="L16" s="13">
        <f>'الحركة اليومية'!M428</f>
        <v>0</v>
      </c>
      <c r="M16" s="40">
        <f>'الحركة اليومية'!N428</f>
        <v>0</v>
      </c>
      <c r="N16" s="40">
        <f>'الحركة اليومية'!O428</f>
        <v>0</v>
      </c>
      <c r="O16" s="13">
        <f>'الحركة اليومية'!P428</f>
        <v>0</v>
      </c>
      <c r="P16" s="40">
        <f>'الحركة اليومية'!Q428</f>
        <v>8129.5600000000559</v>
      </c>
      <c r="Q16" s="14">
        <f>'الحركة اليومية'!S428</f>
        <v>0</v>
      </c>
    </row>
    <row r="17" spans="1:17" ht="15" thickTop="1" x14ac:dyDescent="0.2"/>
    <row r="18" spans="1:17" ht="15" thickBot="1" x14ac:dyDescent="0.25"/>
    <row r="19" spans="1:17" ht="19.5" thickTop="1" thickBot="1" x14ac:dyDescent="0.3">
      <c r="A19" s="46"/>
      <c r="B19" s="13">
        <f>P19</f>
        <v>0</v>
      </c>
      <c r="C19" s="13">
        <f>'الحركة اليومية'!D434</f>
        <v>244689.06</v>
      </c>
      <c r="D19" s="13">
        <f>'الحركة اليومية'!E434</f>
        <v>1325530.2</v>
      </c>
      <c r="E19" s="13">
        <f>'الحركة اليومية'!F434</f>
        <v>208839.45999999996</v>
      </c>
      <c r="F19" s="13">
        <f>'الحركة اليومية'!G434</f>
        <v>75957.5</v>
      </c>
      <c r="G19" s="13">
        <f>'الحركة اليومية'!H434</f>
        <v>22</v>
      </c>
      <c r="H19" s="13">
        <f>'الحركة اليومية'!I434</f>
        <v>0</v>
      </c>
      <c r="I19" s="13"/>
      <c r="J19" s="13">
        <f>'الحركة اليومية'!K434</f>
        <v>399</v>
      </c>
      <c r="K19" s="38">
        <f>'الحركة اليومية'!L434</f>
        <v>1916995.7200000002</v>
      </c>
      <c r="L19" s="13">
        <f>'الحركة اليومية'!M434</f>
        <v>233350</v>
      </c>
      <c r="M19" s="38">
        <f>'الحركة اليومية'!N434</f>
        <v>1610349.1600000001</v>
      </c>
      <c r="N19" s="38">
        <f>'الحركة اليومية'!O434</f>
        <v>61957.5</v>
      </c>
      <c r="O19" s="13">
        <f>'الحركة اليومية'!P434</f>
        <v>3209.5</v>
      </c>
      <c r="P19" s="38">
        <f>'الحركة اليومية'!Q434</f>
        <v>0</v>
      </c>
      <c r="Q19" s="14">
        <f>'الحركة اليومية'!S434</f>
        <v>0</v>
      </c>
    </row>
    <row r="20" spans="1:17" ht="15" thickTop="1" x14ac:dyDescent="0.2"/>
  </sheetData>
  <sheetProtection algorithmName="SHA-512" hashValue="BAJp2ukpZDpcvMSASArIRjy61MpIU0wdWmMEtLt4TKL8QbghfPl1KjYITUWGlMyCJEeZV2uZYbihP8YoxUKxlA==" saltValue="n/44NsVf/QS58yyp2/JDtw==" spinCount="100000" sheet="1" objects="1" scenarios="1"/>
  <mergeCells count="11">
    <mergeCell ref="Q3:Q4"/>
    <mergeCell ref="A3:A4"/>
    <mergeCell ref="B3:B4"/>
    <mergeCell ref="C3:C4"/>
    <mergeCell ref="D3:J3"/>
    <mergeCell ref="K3:K4"/>
    <mergeCell ref="L3:L4"/>
    <mergeCell ref="M3:M4"/>
    <mergeCell ref="N3:N4"/>
    <mergeCell ref="O3:O4"/>
    <mergeCell ref="P3:P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7"/>
  <sheetViews>
    <sheetView rightToLeft="1" topLeftCell="A10" workbookViewId="0">
      <selection activeCell="B1" sqref="B1"/>
    </sheetView>
  </sheetViews>
  <sheetFormatPr defaultColWidth="9.125" defaultRowHeight="27.75" customHeight="1" x14ac:dyDescent="0.25"/>
  <cols>
    <col min="1" max="1" width="10.875" style="53" customWidth="1"/>
    <col min="2" max="2" width="116.25" style="53" bestFit="1" customWidth="1"/>
    <col min="3" max="16384" width="9.125" style="53"/>
  </cols>
  <sheetData>
    <row r="2" spans="1:3" ht="27.75" customHeight="1" x14ac:dyDescent="0.25">
      <c r="B2" s="54" t="s">
        <v>29</v>
      </c>
    </row>
    <row r="4" spans="1:3" ht="27.75" customHeight="1" x14ac:dyDescent="0.25">
      <c r="B4" s="107" t="s">
        <v>30</v>
      </c>
      <c r="C4" s="107"/>
    </row>
    <row r="6" spans="1:3" ht="27.75" customHeight="1" x14ac:dyDescent="0.25">
      <c r="A6" s="55">
        <v>1</v>
      </c>
      <c r="B6" s="57" t="s">
        <v>32</v>
      </c>
    </row>
    <row r="7" spans="1:3" ht="27.75" customHeight="1" x14ac:dyDescent="0.25">
      <c r="A7" s="55">
        <v>2</v>
      </c>
      <c r="B7" s="56" t="s">
        <v>33</v>
      </c>
    </row>
    <row r="8" spans="1:3" ht="27.75" customHeight="1" x14ac:dyDescent="0.25">
      <c r="A8" s="55">
        <v>3</v>
      </c>
      <c r="B8" s="57" t="s">
        <v>31</v>
      </c>
    </row>
    <row r="9" spans="1:3" ht="27.75" customHeight="1" x14ac:dyDescent="0.25">
      <c r="A9" s="55">
        <v>4</v>
      </c>
      <c r="B9" s="57" t="s">
        <v>35</v>
      </c>
    </row>
    <row r="10" spans="1:3" ht="27.75" customHeight="1" x14ac:dyDescent="0.25">
      <c r="A10" s="55">
        <v>5</v>
      </c>
      <c r="B10" s="56" t="s">
        <v>36</v>
      </c>
    </row>
    <row r="11" spans="1:3" ht="27.75" customHeight="1" x14ac:dyDescent="0.25">
      <c r="A11" s="55">
        <v>6</v>
      </c>
      <c r="B11" s="56" t="s">
        <v>37</v>
      </c>
    </row>
    <row r="12" spans="1:3" ht="27.75" customHeight="1" x14ac:dyDescent="0.25">
      <c r="A12" s="55">
        <v>7</v>
      </c>
      <c r="B12" s="56" t="s">
        <v>38</v>
      </c>
    </row>
    <row r="13" spans="1:3" ht="27.75" customHeight="1" x14ac:dyDescent="0.25">
      <c r="A13" s="55">
        <v>8</v>
      </c>
      <c r="B13" s="56" t="s">
        <v>39</v>
      </c>
    </row>
    <row r="14" spans="1:3" ht="27.75" customHeight="1" x14ac:dyDescent="0.25">
      <c r="A14" s="55">
        <v>9</v>
      </c>
      <c r="B14" s="56" t="s">
        <v>40</v>
      </c>
    </row>
    <row r="15" spans="1:3" ht="27.75" customHeight="1" x14ac:dyDescent="0.25">
      <c r="A15" s="55">
        <v>10</v>
      </c>
      <c r="B15" s="56" t="s">
        <v>41</v>
      </c>
    </row>
    <row r="16" spans="1:3" ht="27.75" customHeight="1" x14ac:dyDescent="0.25">
      <c r="A16" s="55">
        <v>11</v>
      </c>
      <c r="B16" s="56" t="s">
        <v>42</v>
      </c>
    </row>
    <row r="17" spans="1:2" ht="27.75" customHeight="1" x14ac:dyDescent="0.25">
      <c r="A17" s="55">
        <v>12</v>
      </c>
      <c r="B17" s="56" t="s">
        <v>43</v>
      </c>
    </row>
  </sheetData>
  <mergeCells count="1">
    <mergeCell ref="B4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الحركة اليومية</vt:lpstr>
      <vt:lpstr>الحركات الشهرية</vt:lpstr>
      <vt:lpstr>التعليمـــــــــــــات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Baihani</dc:creator>
  <cp:lastModifiedBy>Shehar2 Shop</cp:lastModifiedBy>
  <cp:lastPrinted>2020-06-28T07:15:07Z</cp:lastPrinted>
  <dcterms:created xsi:type="dcterms:W3CDTF">2019-01-01T05:04:30Z</dcterms:created>
  <dcterms:modified xsi:type="dcterms:W3CDTF">2026-09-22T20:53:25Z</dcterms:modified>
</cp:coreProperties>
</file>